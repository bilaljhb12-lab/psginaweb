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arto" sheetId="1" state="visible" r:id="rId1"/>
    <sheet xmlns:r="http://schemas.openxmlformats.org/officeDocument/2006/relationships" name="Fue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0" fontId="2" fillId="3" borderId="0" applyAlignment="1" pivotButton="0" quotePrefix="0" xfId="0">
      <alignment vertical="center" wrapText="1"/>
    </xf>
    <xf numFmtId="165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0" customWidth="1" min="2" max="2"/>
    <col width="12" customWidth="1" min="3" max="3"/>
    <col width="12" customWidth="1" min="4" max="4"/>
    <col width="8" customWidth="1" min="5" max="5"/>
    <col width="18" customWidth="1" min="6" max="6"/>
    <col width="18" customWidth="1" min="7" max="7"/>
    <col width="13" customWidth="1" min="8" max="8"/>
    <col width="13" customWidth="1" min="9" max="9"/>
    <col width="16" customWidth="1" min="10" max="10"/>
    <col width="18" customWidth="1" min="11" max="11"/>
    <col width="16" customWidth="1" min="12" max="12"/>
    <col width="20" customWidth="1" min="13" max="13"/>
    <col width="80" customWidth="1" min="14" max="14"/>
  </cols>
  <sheetData>
    <row r="1">
      <c r="A1" s="1" t="inlineStr">
        <is>
          <t>Presupuesto 127 · Reparto del precio cerrado por fases y partidas</t>
        </is>
      </c>
    </row>
    <row r="2">
      <c r="A2" t="inlineStr">
        <is>
          <t>Precio cerrado sin IVA (€)</t>
        </is>
      </c>
      <c r="D2" s="2" t="n">
        <v>22578</v>
      </c>
    </row>
    <row r="4" ht="40" customHeight="1">
      <c r="A4" s="3" t="inlineStr">
        <is>
          <t>Fase</t>
        </is>
      </c>
      <c r="B4" s="3" t="inlineStr">
        <is>
          <t>Nombre</t>
        </is>
      </c>
      <c r="C4" s="3" t="inlineStr">
        <is>
          <t>% del precio</t>
        </is>
      </c>
      <c r="D4" s="3" t="inlineStr">
        <is>
          <t>Importe de la fase</t>
        </is>
      </c>
      <c r="E4" s="3" t="inlineStr">
        <is>
          <t>Material a coste</t>
        </is>
      </c>
      <c r="F4" s="3" t="inlineStr">
        <is>
          <t>Mano de obra que queda</t>
        </is>
      </c>
    </row>
    <row r="5">
      <c r="A5" t="n">
        <v>1</v>
      </c>
      <c r="B5" t="inlineStr">
        <is>
          <t>Inspección, referencias y vaciado</t>
        </is>
      </c>
      <c r="C5" s="4" t="n">
        <v>3</v>
      </c>
      <c r="D5" s="5">
        <f>$D$2*C5/100</f>
        <v/>
      </c>
      <c r="E5" s="5">
        <f>SUMIF($E$17:$E$40,A5,$F$17:$F$40)</f>
        <v/>
      </c>
      <c r="F5" s="5">
        <f>D5-E5</f>
        <v/>
      </c>
    </row>
    <row r="6">
      <c r="A6" t="n">
        <v>2</v>
      </c>
      <c r="B6" t="inlineStr">
        <is>
          <t>Demoliciones</t>
        </is>
      </c>
      <c r="C6" s="4" t="n">
        <v>11</v>
      </c>
      <c r="D6" s="5">
        <f>$D$2*C6/100</f>
        <v/>
      </c>
      <c r="E6" s="5">
        <f>SUMIF($E$17:$E$40,A6,$F$17:$F$40)</f>
        <v/>
      </c>
      <c r="F6" s="5">
        <f>D6-E6</f>
        <v/>
      </c>
    </row>
    <row r="7">
      <c r="A7" t="n">
        <v>3</v>
      </c>
      <c r="B7" t="inlineStr">
        <is>
          <t>Reparación y preparación del soporte</t>
        </is>
      </c>
      <c r="C7" s="4" t="n">
        <v>11.5</v>
      </c>
      <c r="D7" s="5">
        <f>$D$2*C7/100</f>
        <v/>
      </c>
      <c r="E7" s="5">
        <f>SUMIF($E$17:$E$40,A7,$F$17:$F$40)</f>
        <v/>
      </c>
      <c r="F7" s="5">
        <f>D7-E7</f>
        <v/>
      </c>
    </row>
    <row r="8">
      <c r="A8" t="n">
        <v>4</v>
      </c>
      <c r="B8" t="inlineStr">
        <is>
          <t>Impermeabilización · sistema DryPool de Grupo Puma</t>
        </is>
      </c>
      <c r="C8" s="4" t="n">
        <v>14.5</v>
      </c>
      <c r="D8" s="5">
        <f>$D$2*C8/100</f>
        <v/>
      </c>
      <c r="E8" s="5">
        <f>SUMIF($E$17:$E$40,A8,$F$17:$F$40)</f>
        <v/>
      </c>
      <c r="F8" s="5">
        <f>D8-E8</f>
        <v/>
      </c>
    </row>
    <row r="9">
      <c r="A9" t="n">
        <v>5</v>
      </c>
      <c r="B9" t="inlineStr">
        <is>
          <t>Revestimiento cerámico Rosa Gres</t>
        </is>
      </c>
      <c r="C9" s="4" t="n">
        <v>40</v>
      </c>
      <c r="D9" s="5">
        <f>$D$2*C9/100</f>
        <v/>
      </c>
      <c r="E9" s="5">
        <f>SUMIF($E$17:$E$40,A9,$F$17:$F$40)</f>
        <v/>
      </c>
      <c r="F9" s="5">
        <f>D9-E9</f>
        <v/>
      </c>
    </row>
    <row r="10">
      <c r="A10" t="n">
        <v>6</v>
      </c>
      <c r="B10" t="inlineStr">
        <is>
          <t>Coronación y labio de rebose</t>
        </is>
      </c>
      <c r="C10" s="4" t="n">
        <v>15</v>
      </c>
      <c r="D10" s="5">
        <f>$D$2*C10/100</f>
        <v/>
      </c>
      <c r="E10" s="5">
        <f>SUMIF($E$17:$E$40,A10,$F$17:$F$40)</f>
        <v/>
      </c>
      <c r="F10" s="5">
        <f>D10-E10</f>
        <v/>
      </c>
    </row>
    <row r="11">
      <c r="A11" t="n">
        <v>7</v>
      </c>
      <c r="B11" t="inlineStr">
        <is>
          <t>Rejuntado y sellados</t>
        </is>
      </c>
      <c r="C11" s="4" t="n">
        <v>4</v>
      </c>
      <c r="D11" s="5">
        <f>$D$2*C11/100</f>
        <v/>
      </c>
      <c r="E11" s="5">
        <f>SUMIF($E$17:$E$40,A11,$F$17:$F$40)</f>
        <v/>
      </c>
      <c r="F11" s="5">
        <f>D11-E11</f>
        <v/>
      </c>
    </row>
    <row r="12">
      <c r="A12" t="n">
        <v>8</v>
      </c>
      <c r="B12" t="inlineStr">
        <is>
          <t>Entrega</t>
        </is>
      </c>
      <c r="C12" s="4" t="n">
        <v>1</v>
      </c>
      <c r="D12" s="5">
        <f>$D$2*C12/100</f>
        <v/>
      </c>
      <c r="E12" s="5">
        <f>SUMIF($E$17:$E$40,A12,$F$17:$F$40)</f>
        <v/>
      </c>
      <c r="F12" s="5">
        <f>D12-E12</f>
        <v/>
      </c>
    </row>
    <row r="13">
      <c r="B13" s="6" t="inlineStr">
        <is>
          <t>TOTAL</t>
        </is>
      </c>
      <c r="C13" s="7">
        <f>SUM(C5:C12)</f>
        <v/>
      </c>
      <c r="D13" s="5">
        <f>SUM(D5:D12)</f>
        <v/>
      </c>
    </row>
    <row r="14">
      <c r="B14" t="inlineStr">
        <is>
          <t>Los porcentajes deben sumar 100 %. Cada partida nunca baja de su material: el resto de la fase se reparte por mano de obra × importancia.</t>
        </is>
      </c>
    </row>
    <row r="16" ht="40" customHeight="1">
      <c r="A16" s="3" t="inlineStr">
        <is>
          <t>Cód.</t>
        </is>
      </c>
      <c r="B16" s="3" t="inlineStr">
        <is>
          <t>Partida</t>
        </is>
      </c>
      <c r="C16" s="3" t="inlineStr">
        <is>
          <t>Cant.</t>
        </is>
      </c>
      <c r="D16" s="3" t="inlineStr">
        <is>
          <t>Ud.</t>
        </is>
      </c>
      <c r="E16" s="3" t="inlineStr">
        <is>
          <t>Fase</t>
        </is>
      </c>
      <c r="F16" s="3" t="inlineStr">
        <is>
          <t>Material a coste (€)</t>
        </is>
      </c>
      <c r="G16" s="3" t="inlineStr">
        <is>
          <t>M. obra estándar (€)</t>
        </is>
      </c>
      <c r="H16" s="3" t="inlineStr">
        <is>
          <t>Importancia</t>
        </is>
      </c>
      <c r="I16" s="3" t="inlineStr">
        <is>
          <t>Multiplicador</t>
        </is>
      </c>
      <c r="J16" s="3" t="inlineStr">
        <is>
          <t>Peso mano de obra</t>
        </is>
      </c>
      <c r="K16" s="3" t="inlineStr">
        <is>
          <t>Precio sin redondear</t>
        </is>
      </c>
      <c r="L16" s="3" t="inlineStr">
        <is>
          <t>Precio unitario (€)</t>
        </is>
      </c>
      <c r="M16" s="3" t="inlineStr">
        <is>
          <t>Precio de la partida (€)</t>
        </is>
      </c>
      <c r="N16" s="3" t="inlineStr">
        <is>
          <t>Nota / origen</t>
        </is>
      </c>
    </row>
    <row r="17">
      <c r="A17" t="inlineStr">
        <is>
          <t>1.1</t>
        </is>
      </c>
      <c r="B17" t="inlineStr">
        <is>
          <t>Inspección inicial y estado previo</t>
        </is>
      </c>
      <c r="C17" t="n">
        <v>1</v>
      </c>
      <c r="D17" t="inlineStr">
        <is>
          <t>PA</t>
        </is>
      </c>
      <c r="E17" t="n">
        <v>1</v>
      </c>
      <c r="F17" s="5" t="n">
        <v>0</v>
      </c>
      <c r="G17" s="5" t="n">
        <v>198.64</v>
      </c>
      <c r="H17" s="8" t="inlineStr">
        <is>
          <t>normal</t>
        </is>
      </c>
      <c r="I17">
        <f>IF(H17="critica",1.25,IF(H17="baja",0.6,1))</f>
        <v/>
      </c>
      <c r="J17">
        <f>G17*I17</f>
        <v/>
      </c>
      <c r="K17" s="5">
        <f>F17+INDEX($F$5:$F$12,E17)*J17/SUMIF($E$17:$E$40,E17,$J$17:$J$40)</f>
        <v/>
      </c>
      <c r="L17" s="5">
        <f>ROUND(K17/C17,2)</f>
        <v/>
      </c>
      <c r="M17" s="5">
        <f>ROUND(L17*C17,2)</f>
        <v/>
      </c>
      <c r="N17" t="inlineStr">
        <is>
          <t>1 jornada de oficial</t>
        </is>
      </c>
    </row>
    <row r="18">
      <c r="A18" t="inlineStr">
        <is>
          <t>1.2</t>
        </is>
      </c>
      <c r="B18" t="inlineStr">
        <is>
          <t>Toma de referencia de la línea de flotación</t>
        </is>
      </c>
      <c r="C18" t="n">
        <v>1</v>
      </c>
      <c r="D18" t="inlineStr">
        <is>
          <t>PA</t>
        </is>
      </c>
      <c r="E18" t="n">
        <v>1</v>
      </c>
      <c r="F18" s="5" t="n">
        <v>0</v>
      </c>
      <c r="G18" s="5" t="n">
        <v>193.68</v>
      </c>
      <c r="H18" s="8" t="inlineStr">
        <is>
          <t>critica</t>
        </is>
      </c>
      <c r="I18">
        <f>IF(H18="critica",1.25,IF(H18="baja",0.6,1))</f>
        <v/>
      </c>
      <c r="J18">
        <f>G18*I18</f>
        <v/>
      </c>
      <c r="K18" s="5">
        <f>F18+INDEX($F$5:$F$12,E18)*J18/SUMIF($E$17:$E$40,E18,$J$17:$J$40)</f>
        <v/>
      </c>
      <c r="L18" s="5">
        <f>ROUND(K18/C18,2)</f>
        <v/>
      </c>
      <c r="M18" s="5">
        <f>ROUND(L18*C18,2)</f>
        <v/>
      </c>
      <c r="N18" t="inlineStr">
        <is>
          <t>referencia de flotación: de ella depende la nivelación de la coronación</t>
        </is>
      </c>
    </row>
    <row r="19">
      <c r="A19" t="inlineStr">
        <is>
          <t>1.3</t>
        </is>
      </c>
      <c r="B19" t="inlineStr">
        <is>
          <t>Vaciado y protección de la zona de obra</t>
        </is>
      </c>
      <c r="C19" t="n">
        <v>1</v>
      </c>
      <c r="D19" t="inlineStr">
        <is>
          <t>PA</t>
        </is>
      </c>
      <c r="E19" t="n">
        <v>1</v>
      </c>
      <c r="F19" s="5" t="n">
        <v>0</v>
      </c>
      <c r="G19" s="5" t="n">
        <v>387.36</v>
      </c>
      <c r="H19" s="8" t="inlineStr">
        <is>
          <t>baja</t>
        </is>
      </c>
      <c r="I19">
        <f>IF(H19="critica",1.25,IF(H19="baja",0.6,1))</f>
        <v/>
      </c>
      <c r="J19">
        <f>G19*I19</f>
        <v/>
      </c>
      <c r="K19" s="5">
        <f>F19+INDEX($F$5:$F$12,E19)*J19/SUMIF($E$17:$E$40,E19,$J$17:$J$40)</f>
        <v/>
      </c>
      <c r="L19" s="5">
        <f>ROUND(K19/C19,2)</f>
        <v/>
      </c>
      <c r="M19" s="5">
        <f>ROUND(L19*C19,2)</f>
        <v/>
      </c>
      <c r="N19" t="inlineStr">
        <is>
          <t>1 jornada de equipo</t>
        </is>
      </c>
    </row>
    <row r="20">
      <c r="A20" t="inlineStr">
        <is>
          <t>2.1</t>
        </is>
      </c>
      <c r="B20" t="inlineStr">
        <is>
          <t>Desmontaje de la coronación</t>
        </is>
      </c>
      <c r="C20" t="n">
        <v>37</v>
      </c>
      <c r="D20" t="inlineStr">
        <is>
          <t>ml</t>
        </is>
      </c>
      <c r="E20" t="n">
        <v>2</v>
      </c>
      <c r="F20" s="5" t="n">
        <v>0</v>
      </c>
      <c r="G20" s="5" t="n">
        <v>1200.816</v>
      </c>
      <c r="H20" s="8" t="inlineStr">
        <is>
          <t>baja</t>
        </is>
      </c>
      <c r="I20">
        <f>IF(H20="critica",1.25,IF(H20="baja",0.6,1))</f>
        <v/>
      </c>
      <c r="J20">
        <f>G20*I20</f>
        <v/>
      </c>
      <c r="K20" s="5">
        <f>F20+INDEX($F$5:$F$12,E20)*J20/SUMIF($E$17:$E$40,E20,$J$17:$J$40)</f>
        <v/>
      </c>
      <c r="L20" s="5">
        <f>ROUND(K20/C20,2)</f>
        <v/>
      </c>
      <c r="M20" s="5">
        <f>ROUND(L20*C20,2)</f>
        <v/>
      </c>
      <c r="N20" t="inlineStr">
        <is>
          <t>37 ml a ≈12 ml/jornada de equipo (SUPUESTO)</t>
        </is>
      </c>
    </row>
    <row r="21">
      <c r="A21" t="inlineStr">
        <is>
          <t>2.2</t>
        </is>
      </c>
      <c r="B21" t="inlineStr">
        <is>
          <t>Desmontaje de la cerámica</t>
        </is>
      </c>
      <c r="C21" t="n">
        <v>105</v>
      </c>
      <c r="D21" t="inlineStr">
        <is>
          <t>m²</t>
        </is>
      </c>
      <c r="E21" t="n">
        <v>2</v>
      </c>
      <c r="F21" s="5" t="n">
        <v>0</v>
      </c>
      <c r="G21" s="5" t="n">
        <v>1981.56</v>
      </c>
      <c r="H21" s="8" t="inlineStr">
        <is>
          <t>baja</t>
        </is>
      </c>
      <c r="I21">
        <f>IF(H21="critica",1.25,IF(H21="baja",0.6,1))</f>
        <v/>
      </c>
      <c r="J21">
        <f>G21*I21</f>
        <v/>
      </c>
      <c r="K21" s="5">
        <f>F21+INDEX($F$5:$F$12,E21)*J21/SUMIF($E$17:$E$40,E21,$J$17:$J$40)</f>
        <v/>
      </c>
      <c r="L21" s="5">
        <f>ROUND(K21/C21,2)</f>
        <v/>
      </c>
      <c r="M21" s="5">
        <f>ROUND(L21*C21,2)</f>
        <v/>
      </c>
      <c r="N21" t="inlineStr">
        <is>
          <t>105 m² a 10 m²/jornada (picado 8–12 m²/operario/día)</t>
        </is>
      </c>
    </row>
    <row r="22">
      <c r="A22" t="inlineStr">
        <is>
          <t>2.3</t>
        </is>
      </c>
      <c r="B22" t="inlineStr">
        <is>
          <t>Eliminación de la impermeabilización antigua</t>
        </is>
      </c>
      <c r="C22" t="n">
        <v>105</v>
      </c>
      <c r="D22" t="inlineStr">
        <is>
          <t>m²</t>
        </is>
      </c>
      <c r="E22" t="n">
        <v>2</v>
      </c>
      <c r="F22" s="5" t="n">
        <v>0</v>
      </c>
      <c r="G22" s="5" t="n">
        <v>1651.3</v>
      </c>
      <c r="H22" s="8" t="inlineStr">
        <is>
          <t>baja</t>
        </is>
      </c>
      <c r="I22">
        <f>IF(H22="critica",1.25,IF(H22="baja",0.6,1))</f>
        <v/>
      </c>
      <c r="J22">
        <f>G22*I22</f>
        <v/>
      </c>
      <c r="K22" s="5">
        <f>F22+INDEX($F$5:$F$12,E22)*J22/SUMIF($E$17:$E$40,E22,$J$17:$J$40)</f>
        <v/>
      </c>
      <c r="L22" s="5">
        <f>ROUND(K22/C22,2)</f>
        <v/>
      </c>
      <c r="M22" s="5">
        <f>ROUND(L22*C22,2)</f>
        <v/>
      </c>
      <c r="N22" t="inlineStr">
        <is>
          <t>105 m² a ≈12 m²/jornada (SUPUESTO)</t>
        </is>
      </c>
    </row>
    <row r="23">
      <c r="A23" t="inlineStr">
        <is>
          <t>2.4</t>
        </is>
      </c>
      <c r="B23" t="inlineStr">
        <is>
          <t>Retirada de escombros</t>
        </is>
      </c>
      <c r="C23" t="n">
        <v>1</v>
      </c>
      <c r="D23" t="inlineStr">
        <is>
          <t>PA</t>
        </is>
      </c>
      <c r="E23" t="n">
        <v>2</v>
      </c>
      <c r="F23" s="5" t="n">
        <v>750</v>
      </c>
      <c r="G23" s="5" t="n">
        <v>0</v>
      </c>
      <c r="H23" s="8" t="inlineStr">
        <is>
          <t>baja</t>
        </is>
      </c>
      <c r="I23">
        <f>IF(H23="critica",1.25,IF(H23="baja",0.6,1))</f>
        <v/>
      </c>
      <c r="J23">
        <f>G23*I23</f>
        <v/>
      </c>
      <c r="K23" s="5">
        <f>F23+INDEX($F$5:$F$12,E23)*J23/SUMIF($E$17:$E$40,E23,$J$17:$J$40)</f>
        <v/>
      </c>
      <c r="L23" s="5">
        <f>ROUND(K23/C23,2)</f>
        <v/>
      </c>
      <c r="M23" s="5">
        <f>ROUND(L23*C23,2)</f>
        <v/>
      </c>
      <c r="N23" t="inlineStr">
        <is>
          <t>contenedores y transporte a punto limpio, servicio de terceros (SUPUESTO)</t>
        </is>
      </c>
    </row>
    <row r="24">
      <c r="A24" t="inlineStr">
        <is>
          <t>3.1</t>
        </is>
      </c>
      <c r="B24" t="inlineStr">
        <is>
          <t>Saneado y lijado del vaso y del canal</t>
        </is>
      </c>
      <c r="C24" t="n">
        <v>1</v>
      </c>
      <c r="D24" t="inlineStr">
        <is>
          <t>PA</t>
        </is>
      </c>
      <c r="E24" t="n">
        <v>3</v>
      </c>
      <c r="F24" s="5" t="n">
        <v>179.172</v>
      </c>
      <c r="G24" s="5" t="n">
        <v>619.2375</v>
      </c>
      <c r="H24" s="8" t="inlineStr">
        <is>
          <t>normal</t>
        </is>
      </c>
      <c r="I24">
        <f>IF(H24="critica",1.25,IF(H24="baja",0.6,1))</f>
        <v/>
      </c>
      <c r="J24">
        <f>G24*I24</f>
        <v/>
      </c>
      <c r="K24" s="5">
        <f>F24+INDEX($F$5:$F$12,E24)*J24/SUMIF($E$17:$E$40,E24,$J$17:$J$40)</f>
        <v/>
      </c>
      <c r="L24" s="5">
        <f>ROUND(K24/C24,2)</f>
        <v/>
      </c>
      <c r="M24" s="5">
        <f>ROUND(L24*C24,2)</f>
        <v/>
      </c>
      <c r="N24" t="inlineStr">
        <is>
          <t>mortero reparador Morcemrest RF35 en el 30 % + 0,25 h/m²</t>
        </is>
      </c>
    </row>
    <row r="25">
      <c r="A25" t="inlineStr">
        <is>
          <t>3.2</t>
        </is>
      </c>
      <c r="B25" t="inlineStr">
        <is>
          <t>Revisión de pasamuros y puntos singulares</t>
        </is>
      </c>
      <c r="C25" t="n">
        <v>1</v>
      </c>
      <c r="D25" t="inlineStr">
        <is>
          <t>PA</t>
        </is>
      </c>
      <c r="E25" t="n">
        <v>3</v>
      </c>
      <c r="F25" s="5" t="n">
        <v>60</v>
      </c>
      <c r="G25" s="5" t="n">
        <v>387.36</v>
      </c>
      <c r="H25" s="8" t="inlineStr">
        <is>
          <t>critica</t>
        </is>
      </c>
      <c r="I25">
        <f>IF(H25="critica",1.25,IF(H25="baja",0.6,1))</f>
        <v/>
      </c>
      <c r="J25">
        <f>G25*I25</f>
        <v/>
      </c>
      <c r="K25" s="5">
        <f>F25+INDEX($F$5:$F$12,E25)*J25/SUMIF($E$17:$E$40,E25,$J$17:$J$40)</f>
        <v/>
      </c>
      <c r="L25" s="5">
        <f>ROUND(K25/C25,2)</f>
        <v/>
      </c>
      <c r="M25" s="5">
        <f>ROUND(L25*C25,2)</f>
        <v/>
      </c>
      <c r="N25" t="inlineStr">
        <is>
          <t>pasamuros y puntos singulares: donde suelen producirse las fugas</t>
        </is>
      </c>
    </row>
    <row r="26">
      <c r="A26" t="inlineStr">
        <is>
          <t>3.3</t>
        </is>
      </c>
      <c r="B26" t="inlineStr">
        <is>
          <t>Pendiente del fondo del canal</t>
        </is>
      </c>
      <c r="C26" t="n">
        <v>12.5</v>
      </c>
      <c r="D26" t="inlineStr">
        <is>
          <t>ml</t>
        </is>
      </c>
      <c r="E26" t="n">
        <v>3</v>
      </c>
      <c r="F26" s="5" t="n">
        <v>60</v>
      </c>
      <c r="G26" s="5" t="n">
        <v>302.625</v>
      </c>
      <c r="H26" s="8" t="inlineStr">
        <is>
          <t>normal</t>
        </is>
      </c>
      <c r="I26">
        <f>IF(H26="critica",1.25,IF(H26="baja",0.6,1))</f>
        <v/>
      </c>
      <c r="J26">
        <f>G26*I26</f>
        <v/>
      </c>
      <c r="K26" s="5">
        <f>F26+INDEX($F$5:$F$12,E26)*J26/SUMIF($E$17:$E$40,E26,$J$17:$J$40)</f>
        <v/>
      </c>
      <c r="L26" s="5">
        <f>ROUND(K26/C26,2)</f>
        <v/>
      </c>
      <c r="M26" s="5">
        <f>ROUND(L26*C26,2)</f>
        <v/>
      </c>
      <c r="N26" t="inlineStr">
        <is>
          <t>pendiente del canal (SUPUESTO)</t>
        </is>
      </c>
    </row>
    <row r="27">
      <c r="A27" t="inlineStr">
        <is>
          <t>3.4</t>
        </is>
      </c>
      <c r="B27" t="inlineStr">
        <is>
          <t>Replanteo de la línea de flotación y del muro de rebose</t>
        </is>
      </c>
      <c r="C27" t="n">
        <v>1</v>
      </c>
      <c r="D27" t="inlineStr">
        <is>
          <t>PA</t>
        </is>
      </c>
      <c r="E27" t="n">
        <v>3</v>
      </c>
      <c r="F27" s="5" t="n">
        <v>80</v>
      </c>
      <c r="G27" s="5" t="n">
        <v>297.96</v>
      </c>
      <c r="H27" s="8" t="inlineStr">
        <is>
          <t>critica</t>
        </is>
      </c>
      <c r="I27">
        <f>IF(H27="critica",1.25,IF(H27="baja",0.6,1))</f>
        <v/>
      </c>
      <c r="J27">
        <f>G27*I27</f>
        <v/>
      </c>
      <c r="K27" s="5">
        <f>F27+INDEX($F$5:$F$12,E27)*J27/SUMIF($E$17:$E$40,E27,$J$17:$J$40)</f>
        <v/>
      </c>
      <c r="L27" s="5">
        <f>ROUND(K27/C27,2)</f>
        <v/>
      </c>
      <c r="M27" s="5">
        <f>ROUND(L27*C27,2)</f>
        <v/>
      </c>
      <c r="N27" t="inlineStr">
        <is>
          <t>replanteo con láser y regularización del muro de rebose</t>
        </is>
      </c>
    </row>
    <row r="28">
      <c r="A28" t="inlineStr">
        <is>
          <t>4.1</t>
        </is>
      </c>
      <c r="B28" t="inlineStr">
        <is>
          <t>Suministro y aplicación del sistema DryPool en solera y paredes del vaso</t>
        </is>
      </c>
      <c r="C28" t="n">
        <v>69</v>
      </c>
      <c r="D28" t="inlineStr">
        <is>
          <t>m²</t>
        </is>
      </c>
      <c r="E28" t="n">
        <v>4</v>
      </c>
      <c r="F28" s="5" t="n">
        <v>1506.822</v>
      </c>
      <c r="G28" s="5" t="n">
        <v>628.1042</v>
      </c>
      <c r="H28" s="8" t="inlineStr">
        <is>
          <t>critica</t>
        </is>
      </c>
      <c r="I28">
        <f>IF(H28="critica",1.25,IF(H28="baja",0.6,1))</f>
        <v/>
      </c>
      <c r="J28">
        <f>G28*I28</f>
        <v/>
      </c>
      <c r="K28" s="5">
        <f>F28+INDEX($F$5:$F$12,E28)*J28/SUMIF($E$17:$E$40,E28,$J$17:$J$40)</f>
        <v/>
      </c>
      <c r="L28" s="5">
        <f>ROUND(K28/C28,2)</f>
        <v/>
      </c>
      <c r="M28" s="5">
        <f>ROUND(L28*C28,2)</f>
        <v/>
      </c>
      <c r="N28" t="inlineStr">
        <is>
          <t>CYPE UPY120; mortero a tu precio de 97,50 €/saco de 20 kg</t>
        </is>
      </c>
    </row>
    <row r="29">
      <c r="A29" t="inlineStr">
        <is>
          <t>4.2</t>
        </is>
      </c>
      <c r="B29" t="inlineStr">
        <is>
          <t>Suministro y aplicación del sistema DryPool en el canal desbordante</t>
        </is>
      </c>
      <c r="C29" t="n">
        <v>27</v>
      </c>
      <c r="D29" t="inlineStr">
        <is>
          <t>m²</t>
        </is>
      </c>
      <c r="E29" t="n">
        <v>4</v>
      </c>
      <c r="F29" s="5" t="n">
        <v>589.626</v>
      </c>
      <c r="G29" s="5" t="n">
        <v>245.7799</v>
      </c>
      <c r="H29" s="8" t="inlineStr">
        <is>
          <t>critica</t>
        </is>
      </c>
      <c r="I29">
        <f>IF(H29="critica",1.25,IF(H29="baja",0.6,1))</f>
        <v/>
      </c>
      <c r="J29">
        <f>G29*I29</f>
        <v/>
      </c>
      <c r="K29" s="5">
        <f>F29+INDEX($F$5:$F$12,E29)*J29/SUMIF($E$17:$E$40,E29,$J$17:$J$40)</f>
        <v/>
      </c>
      <c r="L29" s="5">
        <f>ROUND(K29/C29,2)</f>
        <v/>
      </c>
      <c r="M29" s="5">
        <f>ROUND(L29*C29,2)</f>
        <v/>
      </c>
      <c r="N29" t="inlineStr">
        <is>
          <t>idem, canal</t>
        </is>
      </c>
    </row>
    <row r="30">
      <c r="A30" t="inlineStr">
        <is>
          <t>4.3</t>
        </is>
      </c>
      <c r="B30" t="inlineStr">
        <is>
          <t>Suministro y aplicación del sistema DryPool en bancos y escalera</t>
        </is>
      </c>
      <c r="C30" t="n">
        <v>9</v>
      </c>
      <c r="D30" t="inlineStr">
        <is>
          <t>m²</t>
        </is>
      </c>
      <c r="E30" t="n">
        <v>4</v>
      </c>
      <c r="F30" s="5" t="n">
        <v>196.542</v>
      </c>
      <c r="G30" s="5" t="n">
        <v>81.92659999999999</v>
      </c>
      <c r="H30" s="8" t="inlineStr">
        <is>
          <t>critica</t>
        </is>
      </c>
      <c r="I30">
        <f>IF(H30="critica",1.25,IF(H30="baja",0.6,1))</f>
        <v/>
      </c>
      <c r="J30">
        <f>G30*I30</f>
        <v/>
      </c>
      <c r="K30" s="5">
        <f>F30+INDEX($F$5:$F$12,E30)*J30/SUMIF($E$17:$E$40,E30,$J$17:$J$40)</f>
        <v/>
      </c>
      <c r="L30" s="5">
        <f>ROUND(K30/C30,2)</f>
        <v/>
      </c>
      <c r="M30" s="5">
        <f>ROUND(L30*C30,2)</f>
        <v/>
      </c>
      <c r="N30" t="inlineStr">
        <is>
          <t>idem, bancos y escalera</t>
        </is>
      </c>
    </row>
    <row r="31">
      <c r="A31" t="inlineStr">
        <is>
          <t>5.1</t>
        </is>
      </c>
      <c r="B31" t="inlineStr">
        <is>
          <t>Suministro y colocación de cerámica Rosa Gres 30 × 60 cm en solera y paredes del vaso</t>
        </is>
      </c>
      <c r="C31" t="n">
        <v>69</v>
      </c>
      <c r="D31" t="inlineStr">
        <is>
          <t>m²</t>
        </is>
      </c>
      <c r="E31" t="n">
        <v>5</v>
      </c>
      <c r="F31" s="5" t="n">
        <v>2781.988</v>
      </c>
      <c r="G31" s="5" t="n">
        <v>2119.8842</v>
      </c>
      <c r="H31" s="8" t="inlineStr">
        <is>
          <t>critica</t>
        </is>
      </c>
      <c r="I31">
        <f>IF(H31="critica",1.25,IF(H31="baja",0.6,1))</f>
        <v/>
      </c>
      <c r="J31">
        <f>G31*I31</f>
        <v/>
      </c>
      <c r="K31" s="5">
        <f>F31+INDEX($F$5:$F$12,E31)*J31/SUMIF($E$17:$E$40,E31,$J$17:$J$40)</f>
        <v/>
      </c>
      <c r="L31" s="5">
        <f>ROUND(K31/C31,2)</f>
        <v/>
      </c>
      <c r="M31" s="5">
        <f>ROUND(L31*C31,2)</f>
        <v/>
      </c>
      <c r="N31" t="inlineStr">
        <is>
          <t>CYPE UPT020; cerámica a tu precio de 34,48 €/m² (112 m² para 105)</t>
        </is>
      </c>
    </row>
    <row r="32">
      <c r="A32" t="inlineStr">
        <is>
          <t>5.2</t>
        </is>
      </c>
      <c r="B32" t="inlineStr">
        <is>
          <t>Suministro y colocación de cerámica Rosa Gres 30 × 60 cm en el canal desbordante</t>
        </is>
      </c>
      <c r="C32" t="n">
        <v>27</v>
      </c>
      <c r="D32" t="inlineStr">
        <is>
          <t>m²</t>
        </is>
      </c>
      <c r="E32" t="n">
        <v>5</v>
      </c>
      <c r="F32" s="5" t="n">
        <v>1088.604</v>
      </c>
      <c r="G32" s="5" t="n">
        <v>829.5199</v>
      </c>
      <c r="H32" s="8" t="inlineStr">
        <is>
          <t>critica</t>
        </is>
      </c>
      <c r="I32">
        <f>IF(H32="critica",1.25,IF(H32="baja",0.6,1))</f>
        <v/>
      </c>
      <c r="J32">
        <f>G32*I32</f>
        <v/>
      </c>
      <c r="K32" s="5">
        <f>F32+INDEX($F$5:$F$12,E32)*J32/SUMIF($E$17:$E$40,E32,$J$17:$J$40)</f>
        <v/>
      </c>
      <c r="L32" s="5">
        <f>ROUND(K32/C32,2)</f>
        <v/>
      </c>
      <c r="M32" s="5">
        <f>ROUND(L32*C32,2)</f>
        <v/>
      </c>
      <c r="N32" t="inlineStr">
        <is>
          <t>idem, canal</t>
        </is>
      </c>
    </row>
    <row r="33">
      <c r="A33" t="inlineStr">
        <is>
          <t>5.3</t>
        </is>
      </c>
      <c r="B33" t="inlineStr">
        <is>
          <t>Suministro y colocación de cerámica Rosa Gres 30 × 60 cm en bancos y escalera</t>
        </is>
      </c>
      <c r="C33" t="n">
        <v>9</v>
      </c>
      <c r="D33" t="inlineStr">
        <is>
          <t>m²</t>
        </is>
      </c>
      <c r="E33" t="n">
        <v>5</v>
      </c>
      <c r="F33" s="5" t="n">
        <v>362.868</v>
      </c>
      <c r="G33" s="5" t="n">
        <v>276.5066</v>
      </c>
      <c r="H33" s="8" t="inlineStr">
        <is>
          <t>critica</t>
        </is>
      </c>
      <c r="I33">
        <f>IF(H33="critica",1.25,IF(H33="baja",0.6,1))</f>
        <v/>
      </c>
      <c r="J33">
        <f>G33*I33</f>
        <v/>
      </c>
      <c r="K33" s="5">
        <f>F33+INDEX($F$5:$F$12,E33)*J33/SUMIF($E$17:$E$40,E33,$J$17:$J$40)</f>
        <v/>
      </c>
      <c r="L33" s="5">
        <f>ROUND(K33/C33,2)</f>
        <v/>
      </c>
      <c r="M33" s="5">
        <f>ROUND(L33*C33,2)</f>
        <v/>
      </c>
      <c r="N33" t="inlineStr">
        <is>
          <t>idem, bancos y escalera</t>
        </is>
      </c>
    </row>
    <row r="34">
      <c r="A34" t="inlineStr">
        <is>
          <t>5.4</t>
        </is>
      </c>
      <c r="B34" t="inlineStr">
        <is>
          <t>Suministro y colocación de piezas de peldaño Rosa Gres</t>
        </is>
      </c>
      <c r="C34" t="n">
        <v>35</v>
      </c>
      <c r="D34" t="inlineStr">
        <is>
          <t>ud</t>
        </is>
      </c>
      <c r="E34" t="n">
        <v>5</v>
      </c>
      <c r="F34" s="5" t="n">
        <v>2410.1</v>
      </c>
      <c r="G34" s="5" t="n">
        <v>304.1675</v>
      </c>
      <c r="H34" s="8" t="inlineStr">
        <is>
          <t>normal</t>
        </is>
      </c>
      <c r="I34">
        <f>IF(H34="critica",1.25,IF(H34="baja",0.6,1))</f>
        <v/>
      </c>
      <c r="J34">
        <f>G34*I34</f>
        <v/>
      </c>
      <c r="K34" s="5">
        <f>F34+INDEX($F$5:$F$12,E34)*J34/SUMIF($E$17:$E$40,E34,$J$17:$J$40)</f>
        <v/>
      </c>
      <c r="L34" s="5">
        <f>ROUND(K34/C34,2)</f>
        <v/>
      </c>
      <c r="M34" s="5">
        <f>ROUND(L34*C34,2)</f>
        <v/>
      </c>
      <c r="N34" t="inlineStr">
        <is>
          <t>peldaño a tu precio de 68,86 €/ud + 0,35 h por pieza</t>
        </is>
      </c>
    </row>
    <row r="35">
      <c r="A35" t="inlineStr">
        <is>
          <t>6.1</t>
        </is>
      </c>
      <c r="B35" t="inlineStr">
        <is>
          <t>Suministro y colocación nivelada de coronación y piezas de rebose</t>
        </is>
      </c>
      <c r="C35" t="n">
        <v>37</v>
      </c>
      <c r="D35" t="inlineStr">
        <is>
          <t>ml</t>
        </is>
      </c>
      <c r="E35" t="n">
        <v>6</v>
      </c>
      <c r="F35" s="5" t="n">
        <v>2220</v>
      </c>
      <c r="G35" s="5" t="n">
        <v>1074.924</v>
      </c>
      <c r="H35" s="8" t="inlineStr">
        <is>
          <t>critica</t>
        </is>
      </c>
      <c r="I35">
        <f>IF(H35="critica",1.25,IF(H35="baja",0.6,1))</f>
        <v/>
      </c>
      <c r="J35">
        <f>G35*I35</f>
        <v/>
      </c>
      <c r="K35" s="5">
        <f>F35+INDEX($F$5:$F$12,E35)*J35/SUMIF($E$17:$E$40,E35,$J$17:$J$40)</f>
        <v/>
      </c>
      <c r="L35" s="5">
        <f>ROUND(K35/C35,2)</f>
        <v/>
      </c>
      <c r="M35" s="5">
        <f>ROUND(L35*C35,2)</f>
        <v/>
      </c>
      <c r="N35" t="inlineStr">
        <is>
          <t>SUPUESTO: pieza de coronación a 60 €/ml, sin fuente; pedir precio al proveedor</t>
        </is>
      </c>
    </row>
    <row r="36">
      <c r="A36" t="inlineStr">
        <is>
          <t>6.2</t>
        </is>
      </c>
      <c r="B36" t="inlineStr">
        <is>
          <t>Prueba de lámina de agua</t>
        </is>
      </c>
      <c r="C36" t="n">
        <v>1</v>
      </c>
      <c r="D36" t="inlineStr">
        <is>
          <t>PA</t>
        </is>
      </c>
      <c r="E36" t="n">
        <v>6</v>
      </c>
      <c r="F36" s="5" t="n">
        <v>0</v>
      </c>
      <c r="G36" s="5" t="n">
        <v>193.68</v>
      </c>
      <c r="H36" s="8" t="inlineStr">
        <is>
          <t>normal</t>
        </is>
      </c>
      <c r="I36">
        <f>IF(H36="critica",1.25,IF(H36="baja",0.6,1))</f>
        <v/>
      </c>
      <c r="J36">
        <f>G36*I36</f>
        <v/>
      </c>
      <c r="K36" s="5">
        <f>F36+INDEX($F$5:$F$12,E36)*J36/SUMIF($E$17:$E$40,E36,$J$17:$J$40)</f>
        <v/>
      </c>
      <c r="L36" s="5">
        <f>ROUND(K36/C36,2)</f>
        <v/>
      </c>
      <c r="M36" s="5">
        <f>ROUND(L36*C36,2)</f>
        <v/>
      </c>
      <c r="N36" t="inlineStr">
        <is>
          <t>4 h de equipo</t>
        </is>
      </c>
    </row>
    <row r="37">
      <c r="A37" t="inlineStr">
        <is>
          <t>7.1</t>
        </is>
      </c>
      <c r="B37" t="inlineStr">
        <is>
          <t>Suministro y aplicación de rejuntado de cerámica, peldaños y coronación</t>
        </is>
      </c>
      <c r="C37" t="n">
        <v>105</v>
      </c>
      <c r="D37" t="inlineStr">
        <is>
          <t>m²</t>
        </is>
      </c>
      <c r="E37" t="n">
        <v>7</v>
      </c>
      <c r="F37" s="5" t="n">
        <v>583.59</v>
      </c>
      <c r="G37" s="5" t="n">
        <v>123.8475</v>
      </c>
      <c r="H37" s="8" t="inlineStr">
        <is>
          <t>critica</t>
        </is>
      </c>
      <c r="I37">
        <f>IF(H37="critica",1.25,IF(H37="baja",0.6,1))</f>
        <v/>
      </c>
      <c r="J37">
        <f>G37*I37</f>
        <v/>
      </c>
      <c r="K37" s="5">
        <f>F37+INDEX($F$5:$F$12,E37)*J37/SUMIF($E$17:$E$40,E37,$J$17:$J$40)</f>
        <v/>
      </c>
      <c r="L37" s="5">
        <f>ROUND(K37/C37,2)</f>
        <v/>
      </c>
      <c r="M37" s="5">
        <f>ROUND(L37*C37,2)</f>
        <v/>
      </c>
      <c r="N37" t="inlineStr">
        <is>
          <t>mortero de juntas RG 0,35 kg/m² (CYPE UPT020)</t>
        </is>
      </c>
    </row>
    <row r="38">
      <c r="A38" t="inlineStr">
        <is>
          <t>7.2</t>
        </is>
      </c>
      <c r="B38" t="inlineStr">
        <is>
          <t>Juntas de dilatación y sellados elásticos perimetrales</t>
        </is>
      </c>
      <c r="C38" t="n">
        <v>1</v>
      </c>
      <c r="D38" t="inlineStr">
        <is>
          <t>PA</t>
        </is>
      </c>
      <c r="E38" t="n">
        <v>7</v>
      </c>
      <c r="F38" s="5" t="n">
        <v>40</v>
      </c>
      <c r="G38" s="5" t="n">
        <v>110</v>
      </c>
      <c r="H38" s="8" t="inlineStr">
        <is>
          <t>normal</t>
        </is>
      </c>
      <c r="I38">
        <f>IF(H38="critica",1.25,IF(H38="baja",0.6,1))</f>
        <v/>
      </c>
      <c r="J38">
        <f>G38*I38</f>
        <v/>
      </c>
      <c r="K38" s="5">
        <f>F38+INDEX($F$5:$F$12,E38)*J38/SUMIF($E$17:$E$40,E38,$J$17:$J$40)</f>
        <v/>
      </c>
      <c r="L38" s="5">
        <f>ROUND(K38/C38,2)</f>
        <v/>
      </c>
      <c r="M38" s="5">
        <f>ROUND(L38*C38,2)</f>
        <v/>
      </c>
      <c r="N38" t="inlineStr">
        <is>
          <t>sellador y mano de obra (SUPUESTO)</t>
        </is>
      </c>
    </row>
    <row r="39">
      <c r="A39" t="inlineStr">
        <is>
          <t>8.1</t>
        </is>
      </c>
      <c r="B39" t="inlineStr">
        <is>
          <t>Limpieza final de obra</t>
        </is>
      </c>
      <c r="C39" t="n">
        <v>1</v>
      </c>
      <c r="D39" t="inlineStr">
        <is>
          <t>PA</t>
        </is>
      </c>
      <c r="E39" t="n">
        <v>8</v>
      </c>
      <c r="F39" s="5" t="n">
        <v>0</v>
      </c>
      <c r="G39" s="5" t="n">
        <v>188.72</v>
      </c>
      <c r="H39" s="8" t="inlineStr">
        <is>
          <t>baja</t>
        </is>
      </c>
      <c r="I39">
        <f>IF(H39="critica",1.25,IF(H39="baja",0.6,1))</f>
        <v/>
      </c>
      <c r="J39">
        <f>G39*I39</f>
        <v/>
      </c>
      <c r="K39" s="5">
        <f>F39+INDEX($F$5:$F$12,E39)*J39/SUMIF($E$17:$E$40,E39,$J$17:$J$40)</f>
        <v/>
      </c>
      <c r="L39" s="5">
        <f>ROUND(K39/C39,2)</f>
        <v/>
      </c>
      <c r="M39" s="5">
        <f>ROUND(L39*C39,2)</f>
        <v/>
      </c>
      <c r="N39" t="inlineStr">
        <is>
          <t>1 jornada de ayudante</t>
        </is>
      </c>
    </row>
    <row r="40">
      <c r="A40" t="inlineStr">
        <is>
          <t>8.2</t>
        </is>
      </c>
      <c r="B40" t="inlineStr">
        <is>
          <t>Revisión final y entrega de la obra</t>
        </is>
      </c>
      <c r="C40" t="n">
        <v>1</v>
      </c>
      <c r="D40" t="inlineStr">
        <is>
          <t>PA</t>
        </is>
      </c>
      <c r="E40" t="n">
        <v>8</v>
      </c>
      <c r="F40" s="5" t="n">
        <v>0</v>
      </c>
      <c r="G40" s="5" t="n">
        <v>99.31999999999999</v>
      </c>
      <c r="H40" s="8" t="inlineStr">
        <is>
          <t>baja</t>
        </is>
      </c>
      <c r="I40">
        <f>IF(H40="critica",1.25,IF(H40="baja",0.6,1))</f>
        <v/>
      </c>
      <c r="J40">
        <f>G40*I40</f>
        <v/>
      </c>
      <c r="K40" s="5">
        <f>F40+INDEX($F$5:$F$12,E40)*J40/SUMIF($E$17:$E$40,E40,$J$17:$J$40)</f>
        <v/>
      </c>
      <c r="L40" s="5">
        <f>M40/C40</f>
        <v/>
      </c>
      <c r="M40" s="5">
        <f>$D$2-SUM(M17:M39)</f>
        <v/>
      </c>
      <c r="N40" t="inlineStr">
        <is>
          <t>4 h de oficial</t>
        </is>
      </c>
    </row>
    <row r="41">
      <c r="B41" s="6" t="inlineStr">
        <is>
          <t>TOTAL</t>
        </is>
      </c>
      <c r="M41" s="9">
        <f>SUM(M17:M40)</f>
        <v/>
      </c>
    </row>
    <row r="43">
      <c r="B43" t="inlineStr">
        <is>
          <t>Importancia: crítica ×1,25 (impermeabilización, colocación de cerámica, coronación, referencias de nivel y puntos singulares), normal ×1, baja ×0,6 (demoliciones, vaciado, limpieza, entrega). Editable en la columna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100" customWidth="1" min="3" max="3"/>
  </cols>
  <sheetData>
    <row r="1">
      <c r="A1" t="inlineStr">
        <is>
          <t>CYPE UPY120 · Sistema DryPool Grupo Puma</t>
        </is>
      </c>
      <c r="B1" t="inlineStr">
        <is>
          <t>https://generadordeprecios.info/rehabilitacion/Urbanizacion_interior_de_la_parcela/Piscinas/Reparaciones/UPY120_Reparacion_de_impermeabilizacion_de.html</t>
        </is>
      </c>
      <c r="C1" t="inlineStr">
        <is>
          <t>4,4 kg/m² de mortero Morcem Dry SF Plus; 0,2 m²/m² de malla; 0,376 h/m² de mano de obra</t>
        </is>
      </c>
    </row>
    <row r="2">
      <c r="A2" t="inlineStr">
        <is>
          <t>CYPE UPT020 · Revestimiento de vaso con baldosas de gres</t>
        </is>
      </c>
      <c r="B2" t="inlineStr">
        <is>
          <t>https://generadordeprecios.info/rehabilitacion/Urbanizacion_interior_de_la_parcela/Piscinas/Revestimientos_ceramicos/UPT020_Revestimiento_de_vaso_de_piscina_co.html</t>
        </is>
      </c>
      <c r="C2" t="inlineStr">
        <is>
          <t>1,264 h/m²; cola 4 kg/m² a 0,59 €/kg; juntas RG 0,35 kg/m² a 15,88 €/kg</t>
        </is>
      </c>
    </row>
    <row r="3">
      <c r="A3" t="inlineStr">
        <is>
          <t>Rendimiento de picado</t>
        </is>
      </c>
      <c r="B3" t="inlineStr">
        <is>
          <t>https://piscinasdeobramadrid.com/cuanto-cuesta-reformar-una-piscina-de-obra-antigua-en-madrid-presupuesto-por-partidas/</t>
        </is>
      </c>
      <c r="C3" t="inlineStr">
        <is>
          <t>8–12 m² por operario y día en paredes verticales</t>
        </is>
      </c>
    </row>
    <row r="4">
      <c r="A4" t="inlineStr">
        <is>
          <t>Precios hora CYPE</t>
        </is>
      </c>
      <c r="B4" t="inlineStr">
        <is>
          <t>(en las partidas anteriores)</t>
        </is>
      </c>
      <c r="C4" t="inlineStr">
        <is>
          <t>Oficial 1.ª 24,83 €/h · Ayudante 23,59 €/h</t>
        </is>
      </c>
    </row>
    <row r="5">
      <c r="A5" t="inlineStr">
        <is>
          <t>SUPUESTOS sin fuente</t>
        </is>
      </c>
      <c r="C5" t="inlineStr">
        <is>
          <t>Precio de la pieza de coronación (60 €/ml), escombros, rendimientos de demolición, fase 3, sellados y cantidades por zona (69/27/9 m²)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2026-10-21T18:38:52Z</dcterms:created>
  <dcterms:modified xmlns:dcterms="http://purl.org/dc/terms/" xmlns:xsi="http://www.w3.org/2001/XMLSchema-instance" xsi:type="dcterms:W3CDTF">2026-10-21T20:25:48Z</dcterms:modified>
</cp:coreProperties>
</file>