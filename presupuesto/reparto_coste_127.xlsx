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rto" sheetId="1" state="visible" r:id="rId1"/>
    <sheet xmlns:r="http://schemas.openxmlformats.org/officeDocument/2006/relationships" name="Fu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 &quot;€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vertical="center" wrapText="1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70" customWidth="1" min="2" max="2"/>
    <col width="8" customWidth="1" min="3" max="3"/>
    <col width="6" customWidth="1" min="4" max="4"/>
    <col width="18" customWidth="1" min="5" max="5"/>
    <col width="20" customWidth="1" min="6" max="6"/>
    <col width="13" customWidth="1" min="7" max="7"/>
    <col width="13" customWidth="1" min="8" max="8"/>
    <col width="20" customWidth="1" min="9" max="9"/>
    <col width="20" customWidth="1" min="10" max="10"/>
    <col width="16" customWidth="1" min="11" max="11"/>
    <col width="80" customWidth="1" min="12" max="12"/>
  </cols>
  <sheetData>
    <row r="1">
      <c r="A1" s="1" t="inlineStr">
        <is>
          <t>Presupuesto 127 · Reparto: material a coste + mano de obra según importancia</t>
        </is>
      </c>
    </row>
    <row r="2">
      <c r="A2" t="inlineStr">
        <is>
          <t>Precio cerrado sin IVA (€)</t>
        </is>
      </c>
      <c r="D2" s="2" t="n">
        <v>22578</v>
      </c>
    </row>
    <row r="3">
      <c r="A3" t="inlineStr">
        <is>
          <t>Factor de mano de obra (fracción de la tarifa CYPE que se cobra)</t>
        </is>
      </c>
      <c r="D3" s="9">
        <f>(D2-SUM(E6:E29))/SUMPRODUCT(F6:F29,H6:H29)</f>
        <v/>
      </c>
    </row>
    <row r="5" ht="42" customHeight="1">
      <c r="A5" s="4" t="inlineStr">
        <is>
          <t>Cód.</t>
        </is>
      </c>
      <c r="B5" s="4" t="inlineStr">
        <is>
          <t>Partida</t>
        </is>
      </c>
      <c r="C5" s="4" t="inlineStr">
        <is>
          <t>Cant.</t>
        </is>
      </c>
      <c r="D5" s="4" t="inlineStr">
        <is>
          <t>Ud.</t>
        </is>
      </c>
      <c r="E5" s="4" t="inlineStr">
        <is>
          <t>Material a coste (€)</t>
        </is>
      </c>
      <c r="F5" s="4" t="inlineStr">
        <is>
          <t>M. obra estándar CYPE (€)</t>
        </is>
      </c>
      <c r="G5" s="4" t="inlineStr">
        <is>
          <t>Importancia</t>
        </is>
      </c>
      <c r="H5" s="4" t="inlineStr">
        <is>
          <t>Multiplicador</t>
        </is>
      </c>
      <c r="I5" s="4" t="inlineStr">
        <is>
          <t>Mano de obra cobrada (€)</t>
        </is>
      </c>
      <c r="J5" s="4" t="inlineStr">
        <is>
          <t>Precio de la partida (€)</t>
        </is>
      </c>
      <c r="K5" s="4" t="inlineStr">
        <is>
          <t>Precio unitario (€)</t>
        </is>
      </c>
      <c r="L5" s="4" t="inlineStr">
        <is>
          <t>Nota / origen</t>
        </is>
      </c>
    </row>
    <row r="6">
      <c r="A6" t="inlineStr">
        <is>
          <t>1.1</t>
        </is>
      </c>
      <c r="B6" t="inlineStr">
        <is>
          <t>Inspección inicial y estado previo</t>
        </is>
      </c>
      <c r="C6" t="n">
        <v>1</v>
      </c>
      <c r="D6" t="inlineStr">
        <is>
          <t>PA</t>
        </is>
      </c>
      <c r="E6" s="10" t="n">
        <v>0</v>
      </c>
      <c r="F6" s="10" t="n">
        <v>198.64</v>
      </c>
      <c r="G6" s="2" t="inlineStr">
        <is>
          <t>normal</t>
        </is>
      </c>
      <c r="H6">
        <f>IF(G6="critica",1.25,IF(G6="baja",0.6,1))</f>
        <v/>
      </c>
      <c r="I6" s="10">
        <f>F6*H6*$D$3</f>
        <v/>
      </c>
      <c r="J6" s="10">
        <f>ROUND(K6*C6,2)</f>
        <v/>
      </c>
      <c r="K6" s="10">
        <f>ROUND((E6+I6)/C6,2)</f>
        <v/>
      </c>
      <c r="L6" t="inlineStr">
        <is>
          <t>1 jornada de oficial</t>
        </is>
      </c>
    </row>
    <row r="7">
      <c r="A7" t="inlineStr">
        <is>
          <t>1.2</t>
        </is>
      </c>
      <c r="B7" t="inlineStr">
        <is>
          <t>Toma de referencia de la línea de flotación</t>
        </is>
      </c>
      <c r="C7" t="n">
        <v>1</v>
      </c>
      <c r="D7" t="inlineStr">
        <is>
          <t>PA</t>
        </is>
      </c>
      <c r="E7" s="10" t="n">
        <v>0</v>
      </c>
      <c r="F7" s="10" t="n">
        <v>193.68</v>
      </c>
      <c r="G7" s="2" t="inlineStr">
        <is>
          <t>critica</t>
        </is>
      </c>
      <c r="H7">
        <f>IF(G7="critica",1.25,IF(G7="baja",0.6,1))</f>
        <v/>
      </c>
      <c r="I7" s="10">
        <f>F7*H7*$D$3</f>
        <v/>
      </c>
      <c r="J7" s="10">
        <f>ROUND(K7*C7,2)</f>
        <v/>
      </c>
      <c r="K7" s="10">
        <f>ROUND((E7+I7)/C7,2)</f>
        <v/>
      </c>
      <c r="L7" t="inlineStr">
        <is>
          <t>referencia de flotación: de ella depende la nivelación de la coronación</t>
        </is>
      </c>
    </row>
    <row r="8">
      <c r="A8" t="inlineStr">
        <is>
          <t>1.3</t>
        </is>
      </c>
      <c r="B8" t="inlineStr">
        <is>
          <t>Vaciado y protección de la zona de obra</t>
        </is>
      </c>
      <c r="C8" t="n">
        <v>1</v>
      </c>
      <c r="D8" t="inlineStr">
        <is>
          <t>PA</t>
        </is>
      </c>
      <c r="E8" s="10" t="n">
        <v>0</v>
      </c>
      <c r="F8" s="10" t="n">
        <v>387.36</v>
      </c>
      <c r="G8" s="2" t="inlineStr">
        <is>
          <t>baja</t>
        </is>
      </c>
      <c r="H8">
        <f>IF(G8="critica",1.25,IF(G8="baja",0.6,1))</f>
        <v/>
      </c>
      <c r="I8" s="10">
        <f>F8*H8*$D$3</f>
        <v/>
      </c>
      <c r="J8" s="10">
        <f>ROUND(K8*C8,2)</f>
        <v/>
      </c>
      <c r="K8" s="10">
        <f>ROUND((E8+I8)/C8,2)</f>
        <v/>
      </c>
      <c r="L8" t="inlineStr">
        <is>
          <t>1 jornada de equipo</t>
        </is>
      </c>
    </row>
    <row r="9">
      <c r="A9" t="inlineStr">
        <is>
          <t>2.1</t>
        </is>
      </c>
      <c r="B9" t="inlineStr">
        <is>
          <t>Desmontaje de la coronación</t>
        </is>
      </c>
      <c r="C9" t="n">
        <v>37</v>
      </c>
      <c r="D9" t="inlineStr">
        <is>
          <t>ml</t>
        </is>
      </c>
      <c r="E9" s="10" t="n">
        <v>0</v>
      </c>
      <c r="F9" s="10" t="n">
        <v>1200.816</v>
      </c>
      <c r="G9" s="2" t="inlineStr">
        <is>
          <t>baja</t>
        </is>
      </c>
      <c r="H9">
        <f>IF(G9="critica",1.25,IF(G9="baja",0.6,1))</f>
        <v/>
      </c>
      <c r="I9" s="10">
        <f>F9*H9*$D$3</f>
        <v/>
      </c>
      <c r="J9" s="10">
        <f>ROUND(K9*C9,2)</f>
        <v/>
      </c>
      <c r="K9" s="10">
        <f>ROUND((E9+I9)/C9,2)</f>
        <v/>
      </c>
      <c r="L9" t="inlineStr">
        <is>
          <t>37 ml a ≈12 ml/jornada de equipo (SUPUESTO)</t>
        </is>
      </c>
    </row>
    <row r="10">
      <c r="A10" t="inlineStr">
        <is>
          <t>2.2</t>
        </is>
      </c>
      <c r="B10" t="inlineStr">
        <is>
          <t>Desmontaje de la cerámica</t>
        </is>
      </c>
      <c r="C10" t="n">
        <v>105</v>
      </c>
      <c r="D10" t="inlineStr">
        <is>
          <t>m²</t>
        </is>
      </c>
      <c r="E10" s="10" t="n">
        <v>0</v>
      </c>
      <c r="F10" s="10" t="n">
        <v>1981.56</v>
      </c>
      <c r="G10" s="2" t="inlineStr">
        <is>
          <t>baja</t>
        </is>
      </c>
      <c r="H10">
        <f>IF(G10="critica",1.25,IF(G10="baja",0.6,1))</f>
        <v/>
      </c>
      <c r="I10" s="10">
        <f>F10*H10*$D$3</f>
        <v/>
      </c>
      <c r="J10" s="10">
        <f>ROUND(K10*C10,2)</f>
        <v/>
      </c>
      <c r="K10" s="10">
        <f>ROUND((E10+I10)/C10,2)</f>
        <v/>
      </c>
      <c r="L10" t="inlineStr">
        <is>
          <t>105 m² a 10 m²/jornada (picado 8–12 m²/operario/día)</t>
        </is>
      </c>
    </row>
    <row r="11">
      <c r="A11" t="inlineStr">
        <is>
          <t>2.3</t>
        </is>
      </c>
      <c r="B11" t="inlineStr">
        <is>
          <t>Eliminación de la impermeabilización antigua</t>
        </is>
      </c>
      <c r="C11" t="n">
        <v>105</v>
      </c>
      <c r="D11" t="inlineStr">
        <is>
          <t>m²</t>
        </is>
      </c>
      <c r="E11" s="10" t="n">
        <v>0</v>
      </c>
      <c r="F11" s="10" t="n">
        <v>1651.3</v>
      </c>
      <c r="G11" s="2" t="inlineStr">
        <is>
          <t>baja</t>
        </is>
      </c>
      <c r="H11">
        <f>IF(G11="critica",1.25,IF(G11="baja",0.6,1))</f>
        <v/>
      </c>
      <c r="I11" s="10">
        <f>F11*H11*$D$3</f>
        <v/>
      </c>
      <c r="J11" s="10">
        <f>ROUND(K11*C11,2)</f>
        <v/>
      </c>
      <c r="K11" s="10">
        <f>ROUND((E11+I11)/C11,2)</f>
        <v/>
      </c>
      <c r="L11" t="inlineStr">
        <is>
          <t>105 m² a ≈12 m²/jornada (SUPUESTO)</t>
        </is>
      </c>
    </row>
    <row r="12">
      <c r="A12" t="inlineStr">
        <is>
          <t>2.4</t>
        </is>
      </c>
      <c r="B12" t="inlineStr">
        <is>
          <t>Retirada de escombros</t>
        </is>
      </c>
      <c r="C12" t="n">
        <v>1</v>
      </c>
      <c r="D12" t="inlineStr">
        <is>
          <t>PA</t>
        </is>
      </c>
      <c r="E12" s="10" t="n">
        <v>750</v>
      </c>
      <c r="F12" s="10" t="n">
        <v>0</v>
      </c>
      <c r="G12" s="2" t="inlineStr">
        <is>
          <t>baja</t>
        </is>
      </c>
      <c r="H12">
        <f>IF(G12="critica",1.25,IF(G12="baja",0.6,1))</f>
        <v/>
      </c>
      <c r="I12" s="10">
        <f>F12*H12*$D$3</f>
        <v/>
      </c>
      <c r="J12" s="10">
        <f>ROUND(K12*C12,2)</f>
        <v/>
      </c>
      <c r="K12" s="10">
        <f>ROUND((E12+I12)/C12,2)</f>
        <v/>
      </c>
      <c r="L12" t="inlineStr">
        <is>
          <t>contenedores y transporte a punto limpio, servicio de terceros (SUPUESTO)</t>
        </is>
      </c>
    </row>
    <row r="13">
      <c r="A13" t="inlineStr">
        <is>
          <t>3.1</t>
        </is>
      </c>
      <c r="B13" t="inlineStr">
        <is>
          <t>Saneado y lijado del vaso y del canal</t>
        </is>
      </c>
      <c r="C13" t="n">
        <v>1</v>
      </c>
      <c r="D13" t="inlineStr">
        <is>
          <t>PA</t>
        </is>
      </c>
      <c r="E13" s="10" t="n">
        <v>179.172</v>
      </c>
      <c r="F13" s="10" t="n">
        <v>619.2375</v>
      </c>
      <c r="G13" s="2" t="inlineStr">
        <is>
          <t>normal</t>
        </is>
      </c>
      <c r="H13">
        <f>IF(G13="critica",1.25,IF(G13="baja",0.6,1))</f>
        <v/>
      </c>
      <c r="I13" s="10">
        <f>F13*H13*$D$3</f>
        <v/>
      </c>
      <c r="J13" s="10">
        <f>ROUND(K13*C13,2)</f>
        <v/>
      </c>
      <c r="K13" s="10">
        <f>ROUND((E13+I13)/C13,2)</f>
        <v/>
      </c>
      <c r="L13" t="inlineStr">
        <is>
          <t>mortero reparador Morcemrest RF35 en el 30 % + 0,25 h/m²</t>
        </is>
      </c>
    </row>
    <row r="14">
      <c r="A14" t="inlineStr">
        <is>
          <t>3.2</t>
        </is>
      </c>
      <c r="B14" t="inlineStr">
        <is>
          <t>Revisión de pasamuros y puntos singulares</t>
        </is>
      </c>
      <c r="C14" t="n">
        <v>1</v>
      </c>
      <c r="D14" t="inlineStr">
        <is>
          <t>PA</t>
        </is>
      </c>
      <c r="E14" s="10" t="n">
        <v>60</v>
      </c>
      <c r="F14" s="10" t="n">
        <v>387.36</v>
      </c>
      <c r="G14" s="2" t="inlineStr">
        <is>
          <t>critica</t>
        </is>
      </c>
      <c r="H14">
        <f>IF(G14="critica",1.25,IF(G14="baja",0.6,1))</f>
        <v/>
      </c>
      <c r="I14" s="10">
        <f>F14*H14*$D$3</f>
        <v/>
      </c>
      <c r="J14" s="10">
        <f>ROUND(K14*C14,2)</f>
        <v/>
      </c>
      <c r="K14" s="10">
        <f>ROUND((E14+I14)/C14,2)</f>
        <v/>
      </c>
      <c r="L14" t="inlineStr">
        <is>
          <t>pasamuros y puntos singulares: donde suelen producirse las fugas</t>
        </is>
      </c>
    </row>
    <row r="15">
      <c r="A15" t="inlineStr">
        <is>
          <t>3.3</t>
        </is>
      </c>
      <c r="B15" t="inlineStr">
        <is>
          <t>Pendiente del fondo del canal</t>
        </is>
      </c>
      <c r="C15" t="n">
        <v>12.5</v>
      </c>
      <c r="D15" t="inlineStr">
        <is>
          <t>ml</t>
        </is>
      </c>
      <c r="E15" s="10" t="n">
        <v>60</v>
      </c>
      <c r="F15" s="10" t="n">
        <v>302.625</v>
      </c>
      <c r="G15" s="2" t="inlineStr">
        <is>
          <t>normal</t>
        </is>
      </c>
      <c r="H15">
        <f>IF(G15="critica",1.25,IF(G15="baja",0.6,1))</f>
        <v/>
      </c>
      <c r="I15" s="10">
        <f>F15*H15*$D$3</f>
        <v/>
      </c>
      <c r="J15" s="10">
        <f>ROUND(K15*C15,2)</f>
        <v/>
      </c>
      <c r="K15" s="10">
        <f>ROUND((E15+I15)/C15,2)</f>
        <v/>
      </c>
      <c r="L15" t="inlineStr">
        <is>
          <t>pendiente del canal (SUPUESTO)</t>
        </is>
      </c>
    </row>
    <row r="16">
      <c r="A16" t="inlineStr">
        <is>
          <t>3.4</t>
        </is>
      </c>
      <c r="B16" t="inlineStr">
        <is>
          <t>Replanteo de la línea de flotación y del muro de rebose</t>
        </is>
      </c>
      <c r="C16" t="n">
        <v>1</v>
      </c>
      <c r="D16" t="inlineStr">
        <is>
          <t>PA</t>
        </is>
      </c>
      <c r="E16" s="10" t="n">
        <v>80</v>
      </c>
      <c r="F16" s="10" t="n">
        <v>297.96</v>
      </c>
      <c r="G16" s="2" t="inlineStr">
        <is>
          <t>critica</t>
        </is>
      </c>
      <c r="H16">
        <f>IF(G16="critica",1.25,IF(G16="baja",0.6,1))</f>
        <v/>
      </c>
      <c r="I16" s="10">
        <f>F16*H16*$D$3</f>
        <v/>
      </c>
      <c r="J16" s="10">
        <f>ROUND(K16*C16,2)</f>
        <v/>
      </c>
      <c r="K16" s="10">
        <f>ROUND((E16+I16)/C16,2)</f>
        <v/>
      </c>
      <c r="L16" t="inlineStr">
        <is>
          <t>replanteo con láser y regularización del muro de rebose</t>
        </is>
      </c>
    </row>
    <row r="17">
      <c r="A17" t="inlineStr">
        <is>
          <t>4.1</t>
        </is>
      </c>
      <c r="B17" t="inlineStr">
        <is>
          <t>Suministro y aplicación del sistema DryPool en solera y paredes del vaso</t>
        </is>
      </c>
      <c r="C17" t="n">
        <v>69</v>
      </c>
      <c r="D17" t="inlineStr">
        <is>
          <t>m²</t>
        </is>
      </c>
      <c r="E17" s="10" t="n">
        <v>1506.822</v>
      </c>
      <c r="F17" s="10" t="n">
        <v>628.10424</v>
      </c>
      <c r="G17" s="2" t="inlineStr">
        <is>
          <t>critica</t>
        </is>
      </c>
      <c r="H17">
        <f>IF(G17="critica",1.25,IF(G17="baja",0.6,1))</f>
        <v/>
      </c>
      <c r="I17" s="10">
        <f>F17*H17*$D$3</f>
        <v/>
      </c>
      <c r="J17" s="10">
        <f>ROUND(K17*C17,2)</f>
        <v/>
      </c>
      <c r="K17" s="10">
        <f>ROUND((E17+I17)/C17,2)</f>
        <v/>
      </c>
      <c r="L17" t="inlineStr">
        <is>
          <t>CYPE UPY120; mortero a tu precio de 97,50 €/saco de 20 kg</t>
        </is>
      </c>
    </row>
    <row r="18">
      <c r="A18" t="inlineStr">
        <is>
          <t>4.2</t>
        </is>
      </c>
      <c r="B18" t="inlineStr">
        <is>
          <t>Suministro y aplicación del sistema DryPool en el canal desbordante</t>
        </is>
      </c>
      <c r="C18" t="n">
        <v>27</v>
      </c>
      <c r="D18" t="inlineStr">
        <is>
          <t>m²</t>
        </is>
      </c>
      <c r="E18" s="10" t="n">
        <v>589.6260000000001</v>
      </c>
      <c r="F18" s="10" t="n">
        <v>245.77992</v>
      </c>
      <c r="G18" s="2" t="inlineStr">
        <is>
          <t>critica</t>
        </is>
      </c>
      <c r="H18">
        <f>IF(G18="critica",1.25,IF(G18="baja",0.6,1))</f>
        <v/>
      </c>
      <c r="I18" s="10">
        <f>F18*H18*$D$3</f>
        <v/>
      </c>
      <c r="J18" s="10">
        <f>ROUND(K18*C18,2)</f>
        <v/>
      </c>
      <c r="K18" s="10">
        <f>ROUND((E18+I18)/C18,2)</f>
        <v/>
      </c>
      <c r="L18" t="inlineStr">
        <is>
          <t>idem, canal</t>
        </is>
      </c>
    </row>
    <row r="19">
      <c r="A19" t="inlineStr">
        <is>
          <t>4.3</t>
        </is>
      </c>
      <c r="B19" t="inlineStr">
        <is>
          <t>Suministro y aplicación del sistema DryPool en bancos y escalera</t>
        </is>
      </c>
      <c r="C19" t="n">
        <v>9</v>
      </c>
      <c r="D19" t="inlineStr">
        <is>
          <t>m²</t>
        </is>
      </c>
      <c r="E19" s="10" t="n">
        <v>196.542</v>
      </c>
      <c r="F19" s="10" t="n">
        <v>81.92663999999999</v>
      </c>
      <c r="G19" s="2" t="inlineStr">
        <is>
          <t>critica</t>
        </is>
      </c>
      <c r="H19">
        <f>IF(G19="critica",1.25,IF(G19="baja",0.6,1))</f>
        <v/>
      </c>
      <c r="I19" s="10">
        <f>F19*H19*$D$3</f>
        <v/>
      </c>
      <c r="J19" s="10">
        <f>ROUND(K19*C19,2)</f>
        <v/>
      </c>
      <c r="K19" s="10">
        <f>ROUND((E19+I19)/C19,2)</f>
        <v/>
      </c>
      <c r="L19" t="inlineStr">
        <is>
          <t>idem, bancos y escalera</t>
        </is>
      </c>
    </row>
    <row r="20">
      <c r="A20" t="inlineStr">
        <is>
          <t>5.1</t>
        </is>
      </c>
      <c r="B20" t="inlineStr">
        <is>
          <t>Suministro y colocación de cerámica Rosa Gres 30 × 60 cm en solera y paredes del vaso</t>
        </is>
      </c>
      <c r="C20" t="n">
        <v>69</v>
      </c>
      <c r="D20" t="inlineStr">
        <is>
          <t>m²</t>
        </is>
      </c>
      <c r="E20" s="10" t="n">
        <v>2781.988</v>
      </c>
      <c r="F20" s="10" t="n">
        <v>2119.88424</v>
      </c>
      <c r="G20" s="2" t="inlineStr">
        <is>
          <t>critica</t>
        </is>
      </c>
      <c r="H20">
        <f>IF(G20="critica",1.25,IF(G20="baja",0.6,1))</f>
        <v/>
      </c>
      <c r="I20" s="10">
        <f>F20*H20*$D$3</f>
        <v/>
      </c>
      <c r="J20" s="10">
        <f>ROUND(K20*C20,2)</f>
        <v/>
      </c>
      <c r="K20" s="10">
        <f>ROUND((E20+I20)/C20,2)</f>
        <v/>
      </c>
      <c r="L20" t="inlineStr">
        <is>
          <t>CYPE UPT020; cerámica a tu precio de 34,48 €/m² (112 m² para 105)</t>
        </is>
      </c>
    </row>
    <row r="21">
      <c r="A21" t="inlineStr">
        <is>
          <t>5.2</t>
        </is>
      </c>
      <c r="B21" t="inlineStr">
        <is>
          <t>Suministro y colocación de cerámica Rosa Gres 30 × 60 cm en el canal desbordante</t>
        </is>
      </c>
      <c r="C21" t="n">
        <v>27</v>
      </c>
      <c r="D21" t="inlineStr">
        <is>
          <t>m²</t>
        </is>
      </c>
      <c r="E21" s="10" t="n">
        <v>1088.604</v>
      </c>
      <c r="F21" s="10" t="n">
        <v>829.51992</v>
      </c>
      <c r="G21" s="2" t="inlineStr">
        <is>
          <t>critica</t>
        </is>
      </c>
      <c r="H21">
        <f>IF(G21="critica",1.25,IF(G21="baja",0.6,1))</f>
        <v/>
      </c>
      <c r="I21" s="10">
        <f>F21*H21*$D$3</f>
        <v/>
      </c>
      <c r="J21" s="10">
        <f>ROUND(K21*C21,2)</f>
        <v/>
      </c>
      <c r="K21" s="10">
        <f>ROUND((E21+I21)/C21,2)</f>
        <v/>
      </c>
      <c r="L21" t="inlineStr">
        <is>
          <t>idem, canal</t>
        </is>
      </c>
    </row>
    <row r="22">
      <c r="A22" t="inlineStr">
        <is>
          <t>5.3</t>
        </is>
      </c>
      <c r="B22" t="inlineStr">
        <is>
          <t>Suministro y colocación de cerámica Rosa Gres 30 × 60 cm en bancos y escalera</t>
        </is>
      </c>
      <c r="C22" t="n">
        <v>9</v>
      </c>
      <c r="D22" t="inlineStr">
        <is>
          <t>m²</t>
        </is>
      </c>
      <c r="E22" s="10" t="n">
        <v>362.868</v>
      </c>
      <c r="F22" s="10" t="n">
        <v>276.50664</v>
      </c>
      <c r="G22" s="2" t="inlineStr">
        <is>
          <t>critica</t>
        </is>
      </c>
      <c r="H22">
        <f>IF(G22="critica",1.25,IF(G22="baja",0.6,1))</f>
        <v/>
      </c>
      <c r="I22" s="10">
        <f>F22*H22*$D$3</f>
        <v/>
      </c>
      <c r="J22" s="10">
        <f>ROUND(K22*C22,2)</f>
        <v/>
      </c>
      <c r="K22" s="10">
        <f>ROUND((E22+I22)/C22,2)</f>
        <v/>
      </c>
      <c r="L22" t="inlineStr">
        <is>
          <t>idem, bancos y escalera</t>
        </is>
      </c>
    </row>
    <row r="23">
      <c r="A23" t="inlineStr">
        <is>
          <t>5.4</t>
        </is>
      </c>
      <c r="B23" t="inlineStr">
        <is>
          <t>Suministro y colocación de piezas de peldaño Rosa Gres</t>
        </is>
      </c>
      <c r="C23" t="n">
        <v>35</v>
      </c>
      <c r="D23" t="inlineStr">
        <is>
          <t>ud</t>
        </is>
      </c>
      <c r="E23" s="10" t="n">
        <v>2410.1</v>
      </c>
      <c r="F23" s="10" t="n">
        <v>304.1675</v>
      </c>
      <c r="G23" s="2" t="inlineStr">
        <is>
          <t>normal</t>
        </is>
      </c>
      <c r="H23">
        <f>IF(G23="critica",1.25,IF(G23="baja",0.6,1))</f>
        <v/>
      </c>
      <c r="I23" s="10">
        <f>F23*H23*$D$3</f>
        <v/>
      </c>
      <c r="J23" s="10">
        <f>ROUND(K23*C23,2)</f>
        <v/>
      </c>
      <c r="K23" s="10">
        <f>ROUND((E23+I23)/C23,2)</f>
        <v/>
      </c>
      <c r="L23" t="inlineStr">
        <is>
          <t>peldaño a tu precio de 68,86 €/ud + 0,35 h por pieza</t>
        </is>
      </c>
    </row>
    <row r="24">
      <c r="A24" t="inlineStr">
        <is>
          <t>6.1</t>
        </is>
      </c>
      <c r="B24" t="inlineStr">
        <is>
          <t>Suministro y colocación nivelada de coronación y piezas de rebose</t>
        </is>
      </c>
      <c r="C24" t="n">
        <v>37</v>
      </c>
      <c r="D24" t="inlineStr">
        <is>
          <t>ml</t>
        </is>
      </c>
      <c r="E24" s="10" t="n">
        <v>2220</v>
      </c>
      <c r="F24" s="10" t="n">
        <v>1074.924</v>
      </c>
      <c r="G24" s="2" t="inlineStr">
        <is>
          <t>critica</t>
        </is>
      </c>
      <c r="H24">
        <f>IF(G24="critica",1.25,IF(G24="baja",0.6,1))</f>
        <v/>
      </c>
      <c r="I24" s="10">
        <f>F24*H24*$D$3</f>
        <v/>
      </c>
      <c r="J24" s="10">
        <f>ROUND(K24*C24,2)</f>
        <v/>
      </c>
      <c r="K24" s="10">
        <f>ROUND((E24+I24)/C24,2)</f>
        <v/>
      </c>
      <c r="L24" t="inlineStr">
        <is>
          <t>SUPUESTO: pieza de coronación a 60 €/ml, sin fuente; pedir precio al proveedor</t>
        </is>
      </c>
    </row>
    <row r="25">
      <c r="A25" t="inlineStr">
        <is>
          <t>6.2</t>
        </is>
      </c>
      <c r="B25" t="inlineStr">
        <is>
          <t>Prueba de lámina de agua</t>
        </is>
      </c>
      <c r="C25" t="n">
        <v>1</v>
      </c>
      <c r="D25" t="inlineStr">
        <is>
          <t>PA</t>
        </is>
      </c>
      <c r="E25" s="10" t="n">
        <v>0</v>
      </c>
      <c r="F25" s="10" t="n">
        <v>193.68</v>
      </c>
      <c r="G25" s="2" t="inlineStr">
        <is>
          <t>normal</t>
        </is>
      </c>
      <c r="H25">
        <f>IF(G25="critica",1.25,IF(G25="baja",0.6,1))</f>
        <v/>
      </c>
      <c r="I25" s="10">
        <f>F25*H25*$D$3</f>
        <v/>
      </c>
      <c r="J25" s="10">
        <f>ROUND(K25*C25,2)</f>
        <v/>
      </c>
      <c r="K25" s="10">
        <f>ROUND((E25+I25)/C25,2)</f>
        <v/>
      </c>
      <c r="L25" t="inlineStr">
        <is>
          <t>4 h de equipo</t>
        </is>
      </c>
    </row>
    <row r="26">
      <c r="A26" t="inlineStr">
        <is>
          <t>7.1</t>
        </is>
      </c>
      <c r="B26" t="inlineStr">
        <is>
          <t>Suministro y aplicación de rejuntado de cerámica, peldaños y coronación</t>
        </is>
      </c>
      <c r="C26" t="n">
        <v>105</v>
      </c>
      <c r="D26" t="inlineStr">
        <is>
          <t>m²</t>
        </is>
      </c>
      <c r="E26" s="10" t="n">
        <v>583.59</v>
      </c>
      <c r="F26" s="10" t="n">
        <v>123.8475</v>
      </c>
      <c r="G26" s="2" t="inlineStr">
        <is>
          <t>critica</t>
        </is>
      </c>
      <c r="H26">
        <f>IF(G26="critica",1.25,IF(G26="baja",0.6,1))</f>
        <v/>
      </c>
      <c r="I26" s="10">
        <f>F26*H26*$D$3</f>
        <v/>
      </c>
      <c r="J26" s="10">
        <f>ROUND(K26*C26,2)</f>
        <v/>
      </c>
      <c r="K26" s="10">
        <f>ROUND((E26+I26)/C26,2)</f>
        <v/>
      </c>
      <c r="L26" t="inlineStr">
        <is>
          <t>mortero de juntas RG 0,35 kg/m² (CYPE UPT020)</t>
        </is>
      </c>
    </row>
    <row r="27">
      <c r="A27" t="inlineStr">
        <is>
          <t>7.2</t>
        </is>
      </c>
      <c r="B27" t="inlineStr">
        <is>
          <t>Juntas de dilatación y sellados elásticos perimetrales</t>
        </is>
      </c>
      <c r="C27" t="n">
        <v>1</v>
      </c>
      <c r="D27" t="inlineStr">
        <is>
          <t>PA</t>
        </is>
      </c>
      <c r="E27" s="10" t="n">
        <v>40</v>
      </c>
      <c r="F27" s="10" t="n">
        <v>110</v>
      </c>
      <c r="G27" s="2" t="inlineStr">
        <is>
          <t>normal</t>
        </is>
      </c>
      <c r="H27">
        <f>IF(G27="critica",1.25,IF(G27="baja",0.6,1))</f>
        <v/>
      </c>
      <c r="I27" s="10">
        <f>F27*H27*$D$3</f>
        <v/>
      </c>
      <c r="J27" s="10">
        <f>ROUND(K27*C27,2)</f>
        <v/>
      </c>
      <c r="K27" s="10">
        <f>ROUND((E27+I27)/C27,2)</f>
        <v/>
      </c>
      <c r="L27" t="inlineStr">
        <is>
          <t>sellador y mano de obra (SUPUESTO)</t>
        </is>
      </c>
    </row>
    <row r="28">
      <c r="A28" t="inlineStr">
        <is>
          <t>8.1</t>
        </is>
      </c>
      <c r="B28" t="inlineStr">
        <is>
          <t>Limpieza final de obra</t>
        </is>
      </c>
      <c r="C28" t="n">
        <v>1</v>
      </c>
      <c r="D28" t="inlineStr">
        <is>
          <t>PA</t>
        </is>
      </c>
      <c r="E28" s="10" t="n">
        <v>0</v>
      </c>
      <c r="F28" s="10" t="n">
        <v>188.72</v>
      </c>
      <c r="G28" s="2" t="inlineStr">
        <is>
          <t>baja</t>
        </is>
      </c>
      <c r="H28">
        <f>IF(G28="critica",1.25,IF(G28="baja",0.6,1))</f>
        <v/>
      </c>
      <c r="I28" s="10">
        <f>F28*H28*$D$3</f>
        <v/>
      </c>
      <c r="J28" s="10">
        <f>ROUND(K28*C28,2)</f>
        <v/>
      </c>
      <c r="K28" s="10">
        <f>ROUND((E28+I28)/C28,2)</f>
        <v/>
      </c>
      <c r="L28" t="inlineStr">
        <is>
          <t>1 jornada de ayudante</t>
        </is>
      </c>
    </row>
    <row r="29">
      <c r="A29" t="inlineStr">
        <is>
          <t>8.2</t>
        </is>
      </c>
      <c r="B29" t="inlineStr">
        <is>
          <t>Revisión final y entrega de la obra</t>
        </is>
      </c>
      <c r="C29" t="n">
        <v>1</v>
      </c>
      <c r="D29" t="inlineStr">
        <is>
          <t>PA</t>
        </is>
      </c>
      <c r="E29" s="10" t="n">
        <v>0</v>
      </c>
      <c r="F29" s="10" t="n">
        <v>99.31999999999999</v>
      </c>
      <c r="G29" s="2" t="inlineStr">
        <is>
          <t>baja</t>
        </is>
      </c>
      <c r="H29">
        <f>IF(G29="critica",1.25,IF(G29="baja",0.6,1))</f>
        <v/>
      </c>
      <c r="I29" s="10">
        <f>F29*H29*$D$3</f>
        <v/>
      </c>
      <c r="J29" s="10">
        <f>$D$2-SUM(J6:J28)</f>
        <v/>
      </c>
      <c r="K29" s="10">
        <f>J29/C29</f>
        <v/>
      </c>
      <c r="L29" t="inlineStr">
        <is>
          <t>4 h de oficial</t>
        </is>
      </c>
    </row>
    <row r="30">
      <c r="B30" s="6" t="inlineStr">
        <is>
          <t>TOTAL</t>
        </is>
      </c>
      <c r="E30" s="11">
        <f>SUM(E6:E29)</f>
        <v/>
      </c>
      <c r="F30" s="11">
        <f>SUM(F6:F29)</f>
        <v/>
      </c>
      <c r="I30" s="11">
        <f>SUM(I6:I29)</f>
        <v/>
      </c>
      <c r="J30" s="11">
        <f>SUM(J6:J29)</f>
        <v/>
      </c>
    </row>
    <row r="32">
      <c r="B32" t="inlineStr">
        <is>
          <t>Horas de mano de obra estimadas (media oficial/ayudante)</t>
        </is>
      </c>
      <c r="E32" s="8">
        <f>F30/((24.83+23.59)/2)</f>
        <v/>
      </c>
    </row>
    <row r="33">
      <c r="B33" t="inlineStr">
        <is>
          <t>Mano de obra cobrada por hora de media (€/h)</t>
        </is>
      </c>
      <c r="E33" s="11">
        <f>I30/E32</f>
        <v/>
      </c>
    </row>
    <row r="35">
      <c r="B35" t="inlineStr">
        <is>
          <t>Importancia: crítica ×1,25 (impermeabilización, colocación cerámica, coronación, referencias de nivel y puntos singulares), normal ×1, baja ×0,6 (demoliciones, vaciado, limpieza, entrega). Cámbiela en la columna G.</t>
        </is>
      </c>
    </row>
    <row r="36">
      <c r="B36" t="inlineStr">
        <is>
          <t>Los materiales van a su coste real. Si el cliente quita una partida, las demás conservan la misma relación coste/precio.</t>
        </is>
      </c>
    </row>
    <row r="37">
      <c r="B37" t="inlineStr">
        <is>
          <t>No incluye el coste del equipo de sal regalado ni el IVA. Los costes SUPUESTO no tienen fuente publicada; el precio de la coronación (60 €/ml) hay que confirmarlo con el proveedor.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5" customWidth="1" min="1" max="1"/>
    <col width="110" customWidth="1" min="2" max="2"/>
    <col width="100" customWidth="1" min="3" max="3"/>
  </cols>
  <sheetData>
    <row r="1">
      <c r="A1" t="inlineStr">
        <is>
          <t>CYPE UPY120 · Sistema DryPool Grupo Puma</t>
        </is>
      </c>
      <c r="B1" t="inlineStr">
        <is>
          <t>https://generadordeprecios.info/rehabilitacion/Urbanizacion_interior_de_la_parcela/Piscinas/Reparaciones/UPY120_Reparacion_de_impermeabilizacion_de.html</t>
        </is>
      </c>
      <c r="C1" t="inlineStr">
        <is>
          <t>4,4 kg/m² de mortero Morcem Dry SF Plus; 0,2 m²/m² de malla; 0,376 h/m² de mano de obra</t>
        </is>
      </c>
    </row>
    <row r="2">
      <c r="A2" t="inlineStr">
        <is>
          <t>CYPE UPT020 · Revestimiento de vaso con baldosas de gres</t>
        </is>
      </c>
      <c r="B2" t="inlineStr">
        <is>
          <t>https://generadordeprecios.info/rehabilitacion/Urbanizacion_interior_de_la_parcela/Piscinas/Revestimientos_ceramicos/UPT020_Revestimiento_de_vaso_de_piscina_co.html</t>
        </is>
      </c>
      <c r="C2" t="inlineStr">
        <is>
          <t>1,264 h/m² (0,73 h oficial + 0,534 h ayudante); cola 4 kg/m² a 0,59 €/kg; juntas RG 0,35 kg/m² a 15,88 €/kg</t>
        </is>
      </c>
    </row>
    <row r="3">
      <c r="A3" t="inlineStr">
        <is>
          <t>Rendimiento de picado</t>
        </is>
      </c>
      <c r="B3" t="inlineStr">
        <is>
          <t>https://piscinasdeobramadrid.com/cuanto-cuesta-reformar-una-piscina-de-obra-antigua-en-madrid-presupuesto-por-partidas/</t>
        </is>
      </c>
      <c r="C3" t="inlineStr">
        <is>
          <t>8–12 m² por operario y día en paredes verticales</t>
        </is>
      </c>
    </row>
    <row r="4">
      <c r="A4" t="inlineStr">
        <is>
          <t>Precios hora CYPE</t>
        </is>
      </c>
      <c r="B4" t="inlineStr">
        <is>
          <t>(en las partidas anteriores)</t>
        </is>
      </c>
      <c r="C4" t="inlineStr">
        <is>
          <t>Oficial 1.ª 24,83 €/h · Ayudante 23,59 €/h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2026-10-21T18:34:38Z</dcterms:created>
  <dcterms:modified xmlns:dcterms="http://purl.org/dc/terms/" xmlns:xsi="http://www.w3.org/2001/XMLSchema-instance" xsi:type="dcterms:W3CDTF">2026-10-21T18:34:47Z</dcterms:modified>
</cp:coreProperties>
</file>