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arto" sheetId="1" state="visible" r:id="rId1"/>
    <sheet xmlns:r="http://schemas.openxmlformats.org/officeDocument/2006/relationships" name="Fuen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8" customWidth="1" min="3" max="3"/>
    <col width="6" customWidth="1" min="4" max="4"/>
    <col width="18" customWidth="1" min="5" max="5"/>
    <col width="18" customWidth="1" min="6" max="6"/>
    <col width="16" customWidth="1" min="7" max="7"/>
    <col width="90" customWidth="1" min="8" max="8"/>
  </cols>
  <sheetData>
    <row r="1">
      <c r="A1" s="1" t="inlineStr">
        <is>
          <t>Presupuesto 127 · Reparto del precio cerrado según coste estándar</t>
        </is>
      </c>
    </row>
    <row r="2">
      <c r="A2" t="inlineStr">
        <is>
          <t>Precio cerrado sin IVA (€)</t>
        </is>
      </c>
      <c r="B2" s="2" t="n">
        <v>22578</v>
      </c>
    </row>
    <row r="4">
      <c r="A4" s="3" t="inlineStr">
        <is>
          <t>Cód.</t>
        </is>
      </c>
      <c r="B4" s="3" t="inlineStr">
        <is>
          <t>Partida</t>
        </is>
      </c>
      <c r="C4" s="3" t="inlineStr">
        <is>
          <t>Cant.</t>
        </is>
      </c>
      <c r="D4" s="3" t="inlineStr">
        <is>
          <t>Ud.</t>
        </is>
      </c>
      <c r="E4" s="3" t="inlineStr">
        <is>
          <t>Coste estándar (€)</t>
        </is>
      </c>
      <c r="F4" s="3" t="inlineStr">
        <is>
          <t>Precio repartido (€)</t>
        </is>
      </c>
      <c r="G4" s="3" t="inlineStr">
        <is>
          <t>Precio unitario (€)</t>
        </is>
      </c>
      <c r="H4" s="3" t="inlineStr">
        <is>
          <t>Cómo se obtiene el coste</t>
        </is>
      </c>
    </row>
    <row r="5">
      <c r="A5" t="inlineStr">
        <is>
          <t>1.1</t>
        </is>
      </c>
      <c r="B5" t="inlineStr">
        <is>
          <t>Inspección inicial y estado previo</t>
        </is>
      </c>
      <c r="C5" t="n">
        <v>1</v>
      </c>
      <c r="D5" t="inlineStr">
        <is>
          <t>PA</t>
        </is>
      </c>
      <c r="E5" s="4" t="n">
        <v>198.64</v>
      </c>
      <c r="F5" s="4">
        <f>ROUND(G5*C5,2)</f>
        <v/>
      </c>
      <c r="G5" s="4">
        <f>ROUND(E5*$B$2/SUM($E$5:$E$28)/C5,2)</f>
        <v/>
      </c>
      <c r="H5" t="inlineStr">
        <is>
          <t>1 jornada de oficial (CYPE 24,83 €/h)</t>
        </is>
      </c>
    </row>
    <row r="6">
      <c r="A6" t="inlineStr">
        <is>
          <t>1.2</t>
        </is>
      </c>
      <c r="B6" t="inlineStr">
        <is>
          <t>Toma de referencia de la línea de flotación</t>
        </is>
      </c>
      <c r="C6" t="n">
        <v>1</v>
      </c>
      <c r="D6" t="inlineStr">
        <is>
          <t>PA</t>
        </is>
      </c>
      <c r="E6" s="4" t="n">
        <v>193.68</v>
      </c>
      <c r="F6" s="4">
        <f>ROUND(G6*C6,2)</f>
        <v/>
      </c>
      <c r="G6" s="4">
        <f>ROUND(E6*$B$2/SUM($E$5:$E$28)/C6,2)</f>
        <v/>
      </c>
      <c r="H6" t="inlineStr">
        <is>
          <t>4 h de oficial + 4 h de ayudante</t>
        </is>
      </c>
    </row>
    <row r="7">
      <c r="A7" t="inlineStr">
        <is>
          <t>1.3</t>
        </is>
      </c>
      <c r="B7" t="inlineStr">
        <is>
          <t>Vaciado y protección de la zona de obra</t>
        </is>
      </c>
      <c r="C7" t="n">
        <v>1</v>
      </c>
      <c r="D7" t="inlineStr">
        <is>
          <t>PA</t>
        </is>
      </c>
      <c r="E7" s="4" t="n">
        <v>387.36</v>
      </c>
      <c r="F7" s="4">
        <f>ROUND(G7*C7,2)</f>
        <v/>
      </c>
      <c r="G7" s="4">
        <f>ROUND(E7*$B$2/SUM($E$5:$E$28)/C7,2)</f>
        <v/>
      </c>
      <c r="H7" t="inlineStr">
        <is>
          <t>1 jornada de equipo (oficial + ayudante)</t>
        </is>
      </c>
    </row>
    <row r="8">
      <c r="A8" t="inlineStr">
        <is>
          <t>2.1</t>
        </is>
      </c>
      <c r="B8" t="inlineStr">
        <is>
          <t>Desmontaje de la coronación</t>
        </is>
      </c>
      <c r="C8" t="n">
        <v>37</v>
      </c>
      <c r="D8" t="inlineStr">
        <is>
          <t>ml</t>
        </is>
      </c>
      <c r="E8" s="4" t="n">
        <v>1200.816</v>
      </c>
      <c r="F8" s="4">
        <f>ROUND(G8*C8,2)</f>
        <v/>
      </c>
      <c r="G8" s="4">
        <f>ROUND(E8*$B$2/SUM($E$5:$E$28)/C8,2)</f>
        <v/>
      </c>
      <c r="H8" t="inlineStr">
        <is>
          <t>37 ml a ≈12 ml/jornada de equipo (SUPUESTO de rendimiento)</t>
        </is>
      </c>
    </row>
    <row r="9">
      <c r="A9" t="inlineStr">
        <is>
          <t>2.2</t>
        </is>
      </c>
      <c r="B9" t="inlineStr">
        <is>
          <t>Desmontaje de la cerámica</t>
        </is>
      </c>
      <c r="C9" t="n">
        <v>105</v>
      </c>
      <c r="D9" t="inlineStr">
        <is>
          <t>m²</t>
        </is>
      </c>
      <c r="E9" s="4" t="n">
        <v>1981.56</v>
      </c>
      <c r="F9" s="4">
        <f>ROUND(G9*C9,2)</f>
        <v/>
      </c>
      <c r="G9" s="4">
        <f>ROUND(E9*$B$2/SUM($E$5:$E$28)/C9,2)</f>
        <v/>
      </c>
      <c r="H9" t="inlineStr">
        <is>
          <t>105 m² a 10 m²/jornada: rendimiento de picado 8–12 m²/operario/día (piscinasdeobramadrid.com)</t>
        </is>
      </c>
    </row>
    <row r="10">
      <c r="A10" t="inlineStr">
        <is>
          <t>2.3</t>
        </is>
      </c>
      <c r="B10" t="inlineStr">
        <is>
          <t>Eliminación de la impermeabilización antigua</t>
        </is>
      </c>
      <c r="C10" t="n">
        <v>105</v>
      </c>
      <c r="D10" t="inlineStr">
        <is>
          <t>m²</t>
        </is>
      </c>
      <c r="E10" s="4" t="n">
        <v>1651.3</v>
      </c>
      <c r="F10" s="4">
        <f>ROUND(G10*C10,2)</f>
        <v/>
      </c>
      <c r="G10" s="4">
        <f>ROUND(E10*$B$2/SUM($E$5:$E$28)/C10,2)</f>
        <v/>
      </c>
      <c r="H10" t="inlineStr">
        <is>
          <t>105 m² a ≈12 m²/jornada (SUPUESTO)</t>
        </is>
      </c>
    </row>
    <row r="11">
      <c r="A11" t="inlineStr">
        <is>
          <t>2.4</t>
        </is>
      </c>
      <c r="B11" t="inlineStr">
        <is>
          <t>Retirada de escombros</t>
        </is>
      </c>
      <c r="C11" t="n">
        <v>1</v>
      </c>
      <c r="D11" t="inlineStr">
        <is>
          <t>PA</t>
        </is>
      </c>
      <c r="E11" s="4" t="n">
        <v>750</v>
      </c>
      <c r="F11" s="4">
        <f>ROUND(G11*C11,2)</f>
        <v/>
      </c>
      <c r="G11" s="4">
        <f>ROUND(E11*$B$2/SUM($E$5:$E$28)/C11,2)</f>
        <v/>
      </c>
      <c r="H11" t="inlineStr">
        <is>
          <t>≈3 contenedores y transporte a punto limpio (SUPUESTO)</t>
        </is>
      </c>
    </row>
    <row r="12">
      <c r="A12" t="inlineStr">
        <is>
          <t>3.1</t>
        </is>
      </c>
      <c r="B12" t="inlineStr">
        <is>
          <t>Saneado y lijado del vaso y del canal</t>
        </is>
      </c>
      <c r="C12" t="n">
        <v>1</v>
      </c>
      <c r="D12" t="inlineStr">
        <is>
          <t>PA</t>
        </is>
      </c>
      <c r="E12" s="4" t="n">
        <v>798.4095</v>
      </c>
      <c r="F12" s="4">
        <f>ROUND(G12*C12,2)</f>
        <v/>
      </c>
      <c r="G12" s="4">
        <f>ROUND(E12*$B$2/SUM($E$5:$E$28)/C12,2)</f>
        <v/>
      </c>
      <c r="H12" t="inlineStr">
        <is>
          <t>0,25 h/m² de ayudante + mortero reparador Morcemrest RF35 en el 30 % (CYPE: 3,6 kg/m² a 1,58 €/kg)</t>
        </is>
      </c>
    </row>
    <row r="13">
      <c r="A13" t="inlineStr">
        <is>
          <t>3.2</t>
        </is>
      </c>
      <c r="B13" t="inlineStr">
        <is>
          <t>Revisión de pasamuros y puntos singulares</t>
        </is>
      </c>
      <c r="C13" t="n">
        <v>1</v>
      </c>
      <c r="D13" t="inlineStr">
        <is>
          <t>PA</t>
        </is>
      </c>
      <c r="E13" s="4" t="n">
        <v>447.36</v>
      </c>
      <c r="F13" s="4">
        <f>ROUND(G13*C13,2)</f>
        <v/>
      </c>
      <c r="G13" s="4">
        <f>ROUND(E13*$B$2/SUM($E$5:$E$28)/C13,2)</f>
        <v/>
      </c>
      <c r="H13" t="inlineStr">
        <is>
          <t>16 h de equipo + materiales (SUPUESTO)</t>
        </is>
      </c>
    </row>
    <row r="14">
      <c r="A14" t="inlineStr">
        <is>
          <t>3.3</t>
        </is>
      </c>
      <c r="B14" t="inlineStr">
        <is>
          <t>Pendiente del fondo del canal</t>
        </is>
      </c>
      <c r="C14" t="n">
        <v>12.5</v>
      </c>
      <c r="D14" t="inlineStr">
        <is>
          <t>ml</t>
        </is>
      </c>
      <c r="E14" s="4" t="n">
        <v>362.625</v>
      </c>
      <c r="F14" s="4">
        <f>ROUND(G14*C14,2)</f>
        <v/>
      </c>
      <c r="G14" s="4">
        <f>ROUND(E14*$B$2/SUM($E$5:$E$28)/C14,2)</f>
        <v/>
      </c>
      <c r="H14" t="inlineStr">
        <is>
          <t>0,5 h de equipo/ml + mortero (SUPUESTO)</t>
        </is>
      </c>
    </row>
    <row r="15">
      <c r="A15" t="inlineStr">
        <is>
          <t>3.4</t>
        </is>
      </c>
      <c r="B15" t="inlineStr">
        <is>
          <t>Replanteo de la línea de flotación y del muro de rebose</t>
        </is>
      </c>
      <c r="C15" t="n">
        <v>1</v>
      </c>
      <c r="D15" t="inlineStr">
        <is>
          <t>PA</t>
        </is>
      </c>
      <c r="E15" s="4" t="n">
        <v>377.96</v>
      </c>
      <c r="F15" s="4">
        <f>ROUND(G15*C15,2)</f>
        <v/>
      </c>
      <c r="G15" s="4">
        <f>ROUND(E15*$B$2/SUM($E$5:$E$28)/C15,2)</f>
        <v/>
      </c>
      <c r="H15" t="inlineStr">
        <is>
          <t>12 h de oficial con nivel láser + mortero (SUPUESTO)</t>
        </is>
      </c>
    </row>
    <row r="16">
      <c r="A16" t="inlineStr">
        <is>
          <t>4.1</t>
        </is>
      </c>
      <c r="B16" t="inlineStr">
        <is>
          <t>Suministro y aplicación del sistema DryPool en solera y paredes del vaso</t>
        </is>
      </c>
      <c r="C16" t="n">
        <v>69</v>
      </c>
      <c r="D16" t="inlineStr">
        <is>
          <t>m²</t>
        </is>
      </c>
      <c r="E16" s="4" t="n">
        <v>2177.6247648</v>
      </c>
      <c r="F16" s="4">
        <f>ROUND(G16*C16,2)</f>
        <v/>
      </c>
      <c r="G16" s="4">
        <f>ROUND(E16*$B$2/SUM($E$5:$E$28)/C16,2)</f>
        <v/>
      </c>
      <c r="H16" t="inlineStr">
        <is>
          <t>CYPE UPY120: 4,4 kg/m² de mortero (tu saco de 97,50 €/20 kg) + malla + 0,376 h/m²</t>
        </is>
      </c>
    </row>
    <row r="17">
      <c r="A17" t="inlineStr">
        <is>
          <t>4.2</t>
        </is>
      </c>
      <c r="B17" t="inlineStr">
        <is>
          <t>Suministro y aplicación del sistema DryPool en el canal desbordante</t>
        </is>
      </c>
      <c r="C17" t="n">
        <v>27</v>
      </c>
      <c r="D17" t="inlineStr">
        <is>
          <t>m²</t>
        </is>
      </c>
      <c r="E17" s="4" t="n">
        <v>852.1140384000001</v>
      </c>
      <c r="F17" s="4">
        <f>ROUND(G17*C17,2)</f>
        <v/>
      </c>
      <c r="G17" s="4">
        <f>ROUND(E17*$B$2/SUM($E$5:$E$28)/C17,2)</f>
        <v/>
      </c>
      <c r="H17" t="inlineStr">
        <is>
          <t>idem, canal</t>
        </is>
      </c>
    </row>
    <row r="18">
      <c r="A18" t="inlineStr">
        <is>
          <t>4.3</t>
        </is>
      </c>
      <c r="B18" t="inlineStr">
        <is>
          <t>Suministro y aplicación del sistema DryPool en bancos y escalera</t>
        </is>
      </c>
      <c r="C18" t="n">
        <v>9</v>
      </c>
      <c r="D18" t="inlineStr">
        <is>
          <t>m²</t>
        </is>
      </c>
      <c r="E18" s="4" t="n">
        <v>284.0380128</v>
      </c>
      <c r="F18" s="4">
        <f>ROUND(G18*C18,2)</f>
        <v/>
      </c>
      <c r="G18" s="4">
        <f>ROUND(E18*$B$2/SUM($E$5:$E$28)/C18,2)</f>
        <v/>
      </c>
      <c r="H18" t="inlineStr">
        <is>
          <t>idem, bancos y escalera</t>
        </is>
      </c>
    </row>
    <row r="19">
      <c r="A19" t="inlineStr">
        <is>
          <t>5.1</t>
        </is>
      </c>
      <c r="B19" t="inlineStr">
        <is>
          <t>Suministro y colocación de cerámica Rosa Gres 30 × 60 cm en solera y paredes del vaso</t>
        </is>
      </c>
      <c r="C19" t="n">
        <v>69</v>
      </c>
      <c r="D19" t="inlineStr">
        <is>
          <t>m²</t>
        </is>
      </c>
      <c r="E19" s="4" t="n">
        <v>5048.9284072</v>
      </c>
      <c r="F19" s="4">
        <f>ROUND(G19*C19,2)</f>
        <v/>
      </c>
      <c r="G19" s="4">
        <f>ROUND(E19*$B$2/SUM($E$5:$E$28)/C19,2)</f>
        <v/>
      </c>
      <c r="H19" t="inlineStr">
        <is>
          <t>CYPE UPT020: tu cerámica 34,48 €/m² (112 m² para 105) + cola + 1,264 h/m² de alicatador</t>
        </is>
      </c>
    </row>
    <row r="20">
      <c r="A20" t="inlineStr">
        <is>
          <t>5.2</t>
        </is>
      </c>
      <c r="B20" t="inlineStr">
        <is>
          <t>Suministro y colocación de cerámica Rosa Gres 30 × 60 cm en el canal desbordante</t>
        </is>
      </c>
      <c r="C20" t="n">
        <v>27</v>
      </c>
      <c r="D20" t="inlineStr">
        <is>
          <t>m²</t>
        </is>
      </c>
      <c r="E20" s="4" t="n">
        <v>1975.6676376</v>
      </c>
      <c r="F20" s="4">
        <f>ROUND(G20*C20,2)</f>
        <v/>
      </c>
      <c r="G20" s="4">
        <f>ROUND(E20*$B$2/SUM($E$5:$E$28)/C20,2)</f>
        <v/>
      </c>
      <c r="H20" t="inlineStr">
        <is>
          <t>idem, canal</t>
        </is>
      </c>
    </row>
    <row r="21">
      <c r="A21" t="inlineStr">
        <is>
          <t>5.3</t>
        </is>
      </c>
      <c r="B21" t="inlineStr">
        <is>
          <t>Suministro y colocación de cerámica Rosa Gres 30 × 60 cm en bancos y escalera</t>
        </is>
      </c>
      <c r="C21" t="n">
        <v>9</v>
      </c>
      <c r="D21" t="inlineStr">
        <is>
          <t>m²</t>
        </is>
      </c>
      <c r="E21" s="4" t="n">
        <v>658.5558792</v>
      </c>
      <c r="F21" s="4">
        <f>ROUND(G21*C21,2)</f>
        <v/>
      </c>
      <c r="G21" s="4">
        <f>ROUND(E21*$B$2/SUM($E$5:$E$28)/C21,2)</f>
        <v/>
      </c>
      <c r="H21" t="inlineStr">
        <is>
          <t>idem, bancos y escalera</t>
        </is>
      </c>
    </row>
    <row r="22">
      <c r="A22" t="inlineStr">
        <is>
          <t>5.4</t>
        </is>
      </c>
      <c r="B22" t="inlineStr">
        <is>
          <t>Suministro y colocación de piezas de peldaño Rosa Gres</t>
        </is>
      </c>
      <c r="C22" t="n">
        <v>35</v>
      </c>
      <c r="D22" t="inlineStr">
        <is>
          <t>ud</t>
        </is>
      </c>
      <c r="E22" s="4" t="n">
        <v>2795.695525</v>
      </c>
      <c r="F22" s="4">
        <f>ROUND(G22*C22,2)</f>
        <v/>
      </c>
      <c r="G22" s="4">
        <f>ROUND(E22*$B$2/SUM($E$5:$E$28)/C22,2)</f>
        <v/>
      </c>
      <c r="H22" t="inlineStr">
        <is>
          <t>tu peldaño 68,86 € + 0,35 h de oficial por pieza</t>
        </is>
      </c>
    </row>
    <row r="23">
      <c r="A23" t="inlineStr">
        <is>
          <t>6.1</t>
        </is>
      </c>
      <c r="B23" t="inlineStr">
        <is>
          <t>Suministro y colocación nivelada de coronación y piezas de rebose</t>
        </is>
      </c>
      <c r="C23" t="n">
        <v>37</v>
      </c>
      <c r="D23" t="inlineStr">
        <is>
          <t>ml</t>
        </is>
      </c>
      <c r="E23" s="4" t="n">
        <v>3294.924</v>
      </c>
      <c r="F23" s="4">
        <f>ROUND(G23*C23,2)</f>
        <v/>
      </c>
      <c r="G23" s="4">
        <f>ROUND(E23*$B$2/SUM($E$5:$E$28)/C23,2)</f>
        <v/>
      </c>
      <c r="H23" t="inlineStr">
        <is>
          <t>SUPUESTO: pieza de coronación 60 €/ml, sin fuente; pedir precio al proveedor</t>
        </is>
      </c>
    </row>
    <row r="24">
      <c r="A24" t="inlineStr">
        <is>
          <t>6.2</t>
        </is>
      </c>
      <c r="B24" t="inlineStr">
        <is>
          <t>Prueba de lámina de agua</t>
        </is>
      </c>
      <c r="C24" t="n">
        <v>1</v>
      </c>
      <c r="D24" t="inlineStr">
        <is>
          <t>PA</t>
        </is>
      </c>
      <c r="E24" s="4" t="n">
        <v>193.68</v>
      </c>
      <c r="F24" s="4">
        <f>ROUND(G24*C24,2)</f>
        <v/>
      </c>
      <c r="G24" s="4">
        <f>ROUND(E24*$B$2/SUM($E$5:$E$28)/C24,2)</f>
        <v/>
      </c>
      <c r="H24" t="inlineStr">
        <is>
          <t>4 h de equipo</t>
        </is>
      </c>
    </row>
    <row r="25">
      <c r="A25" t="inlineStr">
        <is>
          <t>7.1</t>
        </is>
      </c>
      <c r="B25" t="inlineStr">
        <is>
          <t>Suministro y aplicación de rejuntado de cerámica, peldaños y coronación</t>
        </is>
      </c>
      <c r="C25" t="n">
        <v>105</v>
      </c>
      <c r="D25" t="inlineStr">
        <is>
          <t>m²</t>
        </is>
      </c>
      <c r="E25" s="4" t="n">
        <v>583.59</v>
      </c>
      <c r="F25" s="4">
        <f>ROUND(G25*C25,2)</f>
        <v/>
      </c>
      <c r="G25" s="4">
        <f>ROUND(E25*$B$2/SUM($E$5:$E$28)/C25,2)</f>
        <v/>
      </c>
      <c r="H25" t="inlineStr">
        <is>
          <t>CYPE UPT020: mortero de juntas RG 0,35 kg/m² a 15,88 €/kg</t>
        </is>
      </c>
    </row>
    <row r="26">
      <c r="A26" t="inlineStr">
        <is>
          <t>7.2</t>
        </is>
      </c>
      <c r="B26" t="inlineStr">
        <is>
          <t>Juntas de dilatación y sellados elásticos perimetrales</t>
        </is>
      </c>
      <c r="C26" t="n">
        <v>1</v>
      </c>
      <c r="D26" t="inlineStr">
        <is>
          <t>PA</t>
        </is>
      </c>
      <c r="E26" s="4" t="n">
        <v>150</v>
      </c>
      <c r="F26" s="4">
        <f>ROUND(G26*C26,2)</f>
        <v/>
      </c>
      <c r="G26" s="4">
        <f>ROUND(E26*$B$2/SUM($E$5:$E$28)/C26,2)</f>
        <v/>
      </c>
      <c r="H26" t="inlineStr">
        <is>
          <t>sellador y mano de obra (SUPUESTO)</t>
        </is>
      </c>
    </row>
    <row r="27">
      <c r="A27" t="inlineStr">
        <is>
          <t>8.1</t>
        </is>
      </c>
      <c r="B27" t="inlineStr">
        <is>
          <t>Limpieza final de obra</t>
        </is>
      </c>
      <c r="C27" t="n">
        <v>1</v>
      </c>
      <c r="D27" t="inlineStr">
        <is>
          <t>PA</t>
        </is>
      </c>
      <c r="E27" s="4" t="n">
        <v>188.72</v>
      </c>
      <c r="F27" s="4">
        <f>ROUND(G27*C27,2)</f>
        <v/>
      </c>
      <c r="G27" s="4">
        <f>ROUND(E27*$B$2/SUM($E$5:$E$28)/C27,2)</f>
        <v/>
      </c>
      <c r="H27" t="inlineStr">
        <is>
          <t>1 jornada de ayudante</t>
        </is>
      </c>
    </row>
    <row r="28">
      <c r="A28" t="inlineStr">
        <is>
          <t>8.2</t>
        </is>
      </c>
      <c r="B28" t="inlineStr">
        <is>
          <t>Revisión final y entrega de la obra</t>
        </is>
      </c>
      <c r="C28" t="n">
        <v>1</v>
      </c>
      <c r="D28" t="inlineStr">
        <is>
          <t>PA</t>
        </is>
      </c>
      <c r="E28" s="4" t="n">
        <v>99.31999999999999</v>
      </c>
      <c r="F28" s="4">
        <f>$B$2-SUM(F5:F27)</f>
        <v/>
      </c>
      <c r="G28" s="4">
        <f>F28/C28</f>
        <v/>
      </c>
      <c r="H28" t="inlineStr">
        <is>
          <t>4 h de oficial</t>
        </is>
      </c>
    </row>
    <row r="29">
      <c r="B29" s="5" t="inlineStr">
        <is>
          <t>TOTAL</t>
        </is>
      </c>
      <c r="E29" s="6">
        <f>SUM(E5:E28)</f>
        <v/>
      </c>
      <c r="F29" s="6">
        <f>SUM(F5:F28)</f>
        <v/>
      </c>
    </row>
    <row r="31">
      <c r="B31" t="inlineStr">
        <is>
          <t>Cobertura del precio sobre el coste estándar</t>
        </is>
      </c>
      <c r="E31" s="7">
        <f>B2/E29</f>
        <v/>
      </c>
    </row>
    <row r="32">
      <c r="B32" t="inlineStr">
        <is>
          <t>Coste estándar = costes directos CYPE (sin gastos generales ni beneficio) con tus precios de material. No incluye el coste del equipo de sal regalado ni el IVA.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110" customWidth="1" min="3" max="3"/>
  </cols>
  <sheetData>
    <row r="1">
      <c r="A1" t="inlineStr">
        <is>
          <t>CYPE UPY120 · Sistema DryPool Grupo Puma</t>
        </is>
      </c>
      <c r="B1" t="inlineStr">
        <is>
          <t>https://generadordeprecios.info/rehabilitacion/Urbanizacion_interior_de_la_parcela/Piscinas/Reparaciones/UPY120_Reparacion_de_impermeabilizacion_de.html</t>
        </is>
      </c>
      <c r="C1" t="inlineStr">
        <is>
          <t>26,93 €/m²; 4,4 kg/m² de mortero Morcem Dry SF Plus; 0,2 m²/m² de malla; 0,376 h/m² de mano de obra</t>
        </is>
      </c>
    </row>
    <row r="2">
      <c r="A2" t="inlineStr">
        <is>
          <t>CYPE UPT020 · Revestimiento de vaso con baldosas de gres</t>
        </is>
      </c>
      <c r="B2" t="inlineStr">
        <is>
          <t>https://generadordeprecios.info/rehabilitacion/Urbanizacion_interior_de_la_parcela/Piscinas/Revestimientos_ceramicos/UPT020_Revestimiento_de_vaso_de_piscina_co.html</t>
        </is>
      </c>
      <c r="C2" t="inlineStr">
        <is>
          <t>55,13 €/m²; mano de obra 0,73 h oficial + 0,534 h ayudante; cola 4 kg/m² a 0,59 €/kg; juntas RG 0,35 kg/m² a 15,88 €/kg</t>
        </is>
      </c>
    </row>
    <row r="3">
      <c r="A3" t="inlineStr">
        <is>
          <t>Rendimiento de picado</t>
        </is>
      </c>
      <c r="B3" t="inlineStr">
        <is>
          <t>https://piscinasdeobramadrid.com/cuanto-cuesta-reformar-una-piscina-de-obra-antigua-en-madrid-presupuesto-por-partidas/</t>
        </is>
      </c>
      <c r="C3" t="inlineStr">
        <is>
          <t>8–12 m² por operario y día en paredes verticales</t>
        </is>
      </c>
    </row>
    <row r="4">
      <c r="A4" t="inlineStr">
        <is>
          <t>Precios hora CYPE</t>
        </is>
      </c>
      <c r="B4" t="inlineStr">
        <is>
          <t>(en las partidas anteriores)</t>
        </is>
      </c>
      <c r="C4" t="inlineStr">
        <is>
          <t>Oficial 1.ª 24,83 €/h · Ayudante 23,59 €/h</t>
        </is>
      </c>
    </row>
    <row r="5">
      <c r="A5" t="inlineStr">
        <is>
          <t>SUPUESTOS sin fuente</t>
        </is>
      </c>
      <c r="C5" t="inlineStr">
        <is>
          <t>Escombros, rendimientos de demolición de coronación y de impermeabilización antigua, partidas de la fase 3, sellados y, sobre todo, el precio de la pieza de coronación (60 €/ml)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2026-10-21T18:32:44Z</dcterms:created>
  <dcterms:modified xmlns:dcterms="http://purl.org/dc/terms/" xmlns:xsi="http://www.w3.org/2001/XMLSchema-instance" xsi:type="dcterms:W3CDTF">2026-10-21T18:33:07Z</dcterms:modified>
</cp:coreProperties>
</file>