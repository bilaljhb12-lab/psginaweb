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Supuestos y fu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#,##0.0#"/>
    <numFmt numFmtId="166" formatCode="0&quot;%&quot;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  <font>
      <b val="1"/>
      <color rgb="00000000"/>
    </font>
    <font>
      <color rgb="00000000"/>
    </font>
    <font>
      <b val="1"/>
      <color rgb="001F4E7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FA4C8"/>
      </patternFill>
    </fill>
    <fill>
      <patternFill patternType="solid">
        <fgColor rgb="00FFF6CC"/>
      </patternFill>
    </fill>
    <fill>
      <patternFill patternType="solid">
        <fgColor rgb="00EEF2F5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3" fillId="5" borderId="0" pivotButton="0" quotePrefix="0" xfId="0"/>
    <xf numFmtId="164" fontId="3" fillId="5" borderId="0" pivotButton="0" quotePrefix="0" xfId="0"/>
    <xf numFmtId="0" fontId="4" fillId="0" borderId="0" pivotButton="0" quotePrefix="0" xfId="0"/>
    <xf numFmtId="164" fontId="4" fillId="0" borderId="0" pivotButton="0" quotePrefix="0" xfId="0"/>
    <xf numFmtId="166" fontId="0" fillId="4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2" fillId="2" borderId="0" pivotButton="0" quotePrefix="0" xfId="0"/>
    <xf numFmtId="164" fontId="2" fillId="2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1"/>
  <sheetViews>
    <sheetView zoomScale="10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6" customWidth="1" min="3" max="3"/>
    <col width="8" customWidth="1" min="4" max="4"/>
    <col width="12" customWidth="1" min="5" max="5"/>
    <col width="12" customWidth="1" min="6" max="6"/>
    <col width="13" customWidth="1" min="7" max="7"/>
    <col width="15" customWidth="1" min="8" max="8"/>
    <col width="15" customWidth="1" min="9" max="9"/>
    <col width="15" customWidth="1" min="10" max="10"/>
    <col width="8" customWidth="1" min="11" max="11"/>
    <col width="70" customWidth="1" min="12" max="12"/>
  </cols>
  <sheetData>
    <row r="1">
      <c r="A1" s="1" t="inlineStr">
        <is>
          <t>Presupuesto 127 · Brava Pool · Valoración orientativa por partida</t>
        </is>
      </c>
    </row>
    <row r="2" ht="32" customHeight="1">
      <c r="A2" s="2" t="inlineStr">
        <is>
          <t>Celdas amarillas = editables. «Precio elegido» arranca en el punto medio del rango; cámbielo por su coste real. Los precios marcados TUYO vienen del presupuesto 127; el resto son ESTIMACIONES (ver hoja Supuestos).</t>
        </is>
      </c>
    </row>
    <row r="4" ht="30" customHeight="1">
      <c r="A4" s="3" t="inlineStr">
        <is>
          <t>Cód.</t>
        </is>
      </c>
      <c r="B4" s="3" t="inlineStr">
        <is>
          <t>Descripción</t>
        </is>
      </c>
      <c r="C4" s="3" t="inlineStr">
        <is>
          <t>Ud.</t>
        </is>
      </c>
      <c r="D4" s="3" t="inlineStr">
        <is>
          <t>Cant.</t>
        </is>
      </c>
      <c r="E4" s="3" t="inlineStr">
        <is>
          <t>Precio bajo</t>
        </is>
      </c>
      <c r="F4" s="3" t="inlineStr">
        <is>
          <t>Precio alto</t>
        </is>
      </c>
      <c r="G4" s="3" t="inlineStr">
        <is>
          <t>Precio elegido</t>
        </is>
      </c>
      <c r="H4" s="3" t="inlineStr">
        <is>
          <t>Importe elegido</t>
        </is>
      </c>
      <c r="I4" s="3" t="inlineStr">
        <is>
          <t>Importe bajo</t>
        </is>
      </c>
      <c r="J4" s="3" t="inlineStr">
        <is>
          <t>Importe alto</t>
        </is>
      </c>
      <c r="K4" s="3" t="inlineStr">
        <is>
          <t>Origen</t>
        </is>
      </c>
      <c r="L4" s="3" t="inlineStr">
        <is>
          <t>Nota</t>
        </is>
      </c>
    </row>
    <row r="5">
      <c r="A5" s="4" t="inlineStr">
        <is>
          <t>FASE 1</t>
        </is>
      </c>
      <c r="B5" s="4" t="inlineStr">
        <is>
          <t>INSPECCIÓN, REFERENCIAS Y VACIADO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5" t="inlineStr">
        <is>
          <t>1.1</t>
        </is>
      </c>
      <c r="B6" s="6" t="inlineStr">
        <is>
          <t>Inspección inicial y estado previo</t>
        </is>
      </c>
      <c r="C6" s="5" t="inlineStr">
        <is>
          <t>PA</t>
        </is>
      </c>
      <c r="D6" s="7" t="n">
        <v>1</v>
      </c>
      <c r="E6" s="8" t="n">
        <v>150</v>
      </c>
      <c r="F6" s="8" t="n">
        <v>300</v>
      </c>
      <c r="G6" s="9">
        <f>ROUND((E6+F6)/2,2)</f>
        <v/>
      </c>
      <c r="H6" s="8">
        <f>D6*G6</f>
        <v/>
      </c>
      <c r="I6" s="8">
        <f>D6*E6</f>
        <v/>
      </c>
      <c r="J6" s="8">
        <f>D6*F6</f>
        <v/>
      </c>
      <c r="K6" s="5" t="inlineStr">
        <is>
          <t>EST</t>
        </is>
      </c>
      <c r="L6" s="6" t="inlineStr">
        <is>
          <t>Visita técnica, mediciones y reportaje fotográfico.</t>
        </is>
      </c>
    </row>
    <row r="7">
      <c r="A7" s="5" t="inlineStr">
        <is>
          <t>1.2</t>
        </is>
      </c>
      <c r="B7" s="6" t="inlineStr">
        <is>
          <t>Toma de referencia de la línea de flotación</t>
        </is>
      </c>
      <c r="C7" s="5" t="inlineStr">
        <is>
          <t>PA</t>
        </is>
      </c>
      <c r="D7" s="7" t="n">
        <v>1</v>
      </c>
      <c r="E7" s="8" t="n">
        <v>150</v>
      </c>
      <c r="F7" s="8" t="n">
        <v>300</v>
      </c>
      <c r="G7" s="9">
        <f>ROUND((E7+F7)/2,2)</f>
        <v/>
      </c>
      <c r="H7" s="8">
        <f>D7*G7</f>
        <v/>
      </c>
      <c r="I7" s="8">
        <f>D7*E7</f>
        <v/>
      </c>
      <c r="J7" s="8">
        <f>D7*F7</f>
        <v/>
      </c>
      <c r="K7" s="5" t="inlineStr">
        <is>
          <t>EST</t>
        </is>
      </c>
      <c r="L7" s="6" t="inlineStr">
        <is>
          <t>Medición con la piscina llena y desbordando.</t>
        </is>
      </c>
    </row>
    <row r="8">
      <c r="A8" s="5" t="inlineStr">
        <is>
          <t>1.3</t>
        </is>
      </c>
      <c r="B8" s="6" t="inlineStr">
        <is>
          <t>Vaciado y protección de la zona de obra (incl. mobiliario y macetas)</t>
        </is>
      </c>
      <c r="C8" s="5" t="inlineStr">
        <is>
          <t>PA</t>
        </is>
      </c>
      <c r="D8" s="7" t="n">
        <v>1</v>
      </c>
      <c r="E8" s="8" t="n">
        <v>300</v>
      </c>
      <c r="F8" s="8" t="n">
        <v>600</v>
      </c>
      <c r="G8" s="9">
        <f>ROUND((E8+F8)/2,2)</f>
        <v/>
      </c>
      <c r="H8" s="8">
        <f>D8*G8</f>
        <v/>
      </c>
      <c r="I8" s="8">
        <f>D8*E8</f>
        <v/>
      </c>
      <c r="J8" s="8">
        <f>D8*F8</f>
        <v/>
      </c>
      <c r="K8" s="5" t="inlineStr">
        <is>
          <t>EST</t>
        </is>
      </c>
      <c r="L8" s="6" t="inlineStr">
        <is>
          <t>Agua de vaciado: ver normativa local.</t>
        </is>
      </c>
    </row>
    <row r="9">
      <c r="A9" s="10" t="n"/>
      <c r="B9" s="10" t="inlineStr">
        <is>
          <t>Subtotal fase 1</t>
        </is>
      </c>
      <c r="C9" s="10" t="n"/>
      <c r="D9" s="10" t="n"/>
      <c r="E9" s="10" t="n"/>
      <c r="F9" s="10" t="n"/>
      <c r="G9" s="10" t="n"/>
      <c r="H9" s="11">
        <f>SUM(H6:H8)</f>
        <v/>
      </c>
      <c r="I9" s="11">
        <f>SUM(I6:I8)</f>
        <v/>
      </c>
      <c r="J9" s="11">
        <f>SUM(J6:J8)</f>
        <v/>
      </c>
      <c r="K9" s="10" t="n"/>
      <c r="L9" s="10" t="n"/>
    </row>
    <row r="11">
      <c r="A11" s="4" t="inlineStr">
        <is>
          <t>FASE 2</t>
        </is>
      </c>
      <c r="B11" s="4" t="inlineStr">
        <is>
          <t>DEMOLICIONES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5" t="inlineStr">
        <is>
          <t>2.1</t>
        </is>
      </c>
      <c r="B12" s="6" t="inlineStr">
        <is>
          <t>Desmontaje de la coronación</t>
        </is>
      </c>
      <c r="C12" s="5" t="inlineStr">
        <is>
          <t>ml</t>
        </is>
      </c>
      <c r="D12" s="7" t="n">
        <v>37</v>
      </c>
      <c r="E12" s="8" t="n">
        <v>15</v>
      </c>
      <c r="F12" s="8" t="n">
        <v>30</v>
      </c>
      <c r="G12" s="9">
        <f>ROUND((E12+F12)/2,2)</f>
        <v/>
      </c>
      <c r="H12" s="8">
        <f>D12*G12</f>
        <v/>
      </c>
      <c r="I12" s="8">
        <f>D12*E12</f>
        <v/>
      </c>
      <c r="J12" s="8">
        <f>D12*F12</f>
        <v/>
      </c>
      <c r="K12" s="5" t="inlineStr">
        <is>
          <t>EST</t>
        </is>
      </c>
      <c r="L12" s="6" t="inlineStr">
        <is>
          <t>Mano de obra. No incluye reposición de terraza ni rejilla lineal (condicionado).</t>
        </is>
      </c>
    </row>
    <row r="13">
      <c r="A13" s="5" t="inlineStr">
        <is>
          <t>2.2</t>
        </is>
      </c>
      <c r="B13" s="6" t="inlineStr">
        <is>
          <t>Desmontaje de la cerámica</t>
        </is>
      </c>
      <c r="C13" s="5" t="inlineStr">
        <is>
          <t>m²</t>
        </is>
      </c>
      <c r="D13" s="7" t="n">
        <v>105</v>
      </c>
      <c r="E13" s="8" t="n">
        <v>12</v>
      </c>
      <c r="F13" s="8" t="n">
        <v>20</v>
      </c>
      <c r="G13" s="9">
        <f>ROUND((E13+F13)/2,2)</f>
        <v/>
      </c>
      <c r="H13" s="8">
        <f>D13*G13</f>
        <v/>
      </c>
      <c r="I13" s="8">
        <f>D13*E13</f>
        <v/>
      </c>
      <c r="J13" s="8">
        <f>D13*F13</f>
        <v/>
      </c>
      <c r="K13" s="5" t="inlineStr">
        <is>
          <t>EST</t>
        </is>
      </c>
      <c r="L13" s="6" t="inlineStr">
        <is>
          <t>Habitissimo da ≈15 €/m² por retirar gresite antiguo; el porcelánico con cola suele costar algo más.</t>
        </is>
      </c>
    </row>
    <row r="14">
      <c r="A14" s="5" t="inlineStr">
        <is>
          <t>2.3</t>
        </is>
      </c>
      <c r="B14" s="6" t="inlineStr">
        <is>
          <t>Eliminación de la impermeabilización antigua</t>
        </is>
      </c>
      <c r="C14" s="5" t="inlineStr">
        <is>
          <t>m²</t>
        </is>
      </c>
      <c r="D14" s="7" t="n">
        <v>105</v>
      </c>
      <c r="E14" s="8" t="n">
        <v>8</v>
      </c>
      <c r="F14" s="8" t="n">
        <v>15</v>
      </c>
      <c r="G14" s="9">
        <f>ROUND((E14+F14)/2,2)</f>
        <v/>
      </c>
      <c r="H14" s="8">
        <f>D14*G14</f>
        <v/>
      </c>
      <c r="I14" s="8">
        <f>D14*E14</f>
        <v/>
      </c>
      <c r="J14" s="8">
        <f>D14*F14</f>
        <v/>
      </c>
      <c r="K14" s="5" t="inlineStr">
        <is>
          <t>EST</t>
        </is>
      </c>
      <c r="L14" s="6" t="inlineStr">
        <is>
          <t>Picado y limpieza hasta base sana.</t>
        </is>
      </c>
    </row>
    <row r="15">
      <c r="A15" s="5" t="inlineStr">
        <is>
          <t>2.4</t>
        </is>
      </c>
      <c r="B15" s="6" t="inlineStr">
        <is>
          <t>Retirada de escombros</t>
        </is>
      </c>
      <c r="C15" s="5" t="inlineStr">
        <is>
          <t>PA</t>
        </is>
      </c>
      <c r="D15" s="7" t="n">
        <v>1</v>
      </c>
      <c r="E15" s="8" t="n">
        <v>400</v>
      </c>
      <c r="F15" s="8" t="n">
        <v>900</v>
      </c>
      <c r="G15" s="9">
        <f>ROUND((E15+F15)/2,2)</f>
        <v/>
      </c>
      <c r="H15" s="8">
        <f>D15*G15</f>
        <v/>
      </c>
      <c r="I15" s="8">
        <f>D15*E15</f>
        <v/>
      </c>
      <c r="J15" s="8">
        <f>D15*F15</f>
        <v/>
      </c>
      <c r="K15" s="5" t="inlineStr">
        <is>
          <t>EST</t>
        </is>
      </c>
      <c r="L15" s="6" t="inlineStr">
        <is>
          <t>Contenedor, carga y transporte a punto limpio autorizado.</t>
        </is>
      </c>
    </row>
    <row r="16">
      <c r="A16" s="10" t="n"/>
      <c r="B16" s="10" t="inlineStr">
        <is>
          <t>Subtotal fase 2</t>
        </is>
      </c>
      <c r="C16" s="10" t="n"/>
      <c r="D16" s="10" t="n"/>
      <c r="E16" s="10" t="n"/>
      <c r="F16" s="10" t="n"/>
      <c r="G16" s="10" t="n"/>
      <c r="H16" s="11">
        <f>SUM(H12:H15)</f>
        <v/>
      </c>
      <c r="I16" s="11">
        <f>SUM(I12:I15)</f>
        <v/>
      </c>
      <c r="J16" s="11">
        <f>SUM(J12:J15)</f>
        <v/>
      </c>
      <c r="K16" s="10" t="n"/>
      <c r="L16" s="10" t="n"/>
    </row>
    <row r="18">
      <c r="A18" s="4" t="inlineStr">
        <is>
          <t>FASE 3</t>
        </is>
      </c>
      <c r="B18" s="4" t="inlineStr">
        <is>
          <t>REPARACIÓN Y PREPARACIÓN DEL SOPORTE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5" t="inlineStr">
        <is>
          <t>3.1</t>
        </is>
      </c>
      <c r="B19" s="6" t="inlineStr">
        <is>
          <t>Saneado y lijado del vaso y del canal</t>
        </is>
      </c>
      <c r="C19" s="5" t="inlineStr">
        <is>
          <t>PA</t>
        </is>
      </c>
      <c r="D19" s="7" t="n">
        <v>1</v>
      </c>
      <c r="E19" s="8" t="n">
        <v>700</v>
      </c>
      <c r="F19" s="8" t="n">
        <v>1400</v>
      </c>
      <c r="G19" s="9">
        <f>ROUND((E19+F19)/2,2)</f>
        <v/>
      </c>
      <c r="H19" s="8">
        <f>D19*G19</f>
        <v/>
      </c>
      <c r="I19" s="8">
        <f>D19*E19</f>
        <v/>
      </c>
      <c r="J19" s="8">
        <f>D19*F19</f>
        <v/>
      </c>
      <c r="K19" s="5" t="inlineStr">
        <is>
          <t>EST</t>
        </is>
      </c>
      <c r="L19" s="6" t="inlineStr">
        <is>
          <t>≈ 7–13 €/m² sobre 105 m².</t>
        </is>
      </c>
    </row>
    <row r="20">
      <c r="A20" s="5" t="inlineStr">
        <is>
          <t>3.2</t>
        </is>
      </c>
      <c r="B20" s="6" t="inlineStr">
        <is>
          <t>Revisión de pasamuros y puntos singulares</t>
        </is>
      </c>
      <c r="C20" s="5" t="inlineStr">
        <is>
          <t>PA</t>
        </is>
      </c>
      <c r="D20" s="7" t="n">
        <v>1</v>
      </c>
      <c r="E20" s="8" t="n">
        <v>300</v>
      </c>
      <c r="F20" s="8" t="n">
        <v>700</v>
      </c>
      <c r="G20" s="9">
        <f>ROUND((E20+F20)/2,2)</f>
        <v/>
      </c>
      <c r="H20" s="8">
        <f>D20*G20</f>
        <v/>
      </c>
      <c r="I20" s="8">
        <f>D20*E20</f>
        <v/>
      </c>
      <c r="J20" s="8">
        <f>D20*F20</f>
        <v/>
      </c>
      <c r="K20" s="5" t="inlineStr">
        <is>
          <t>EST</t>
        </is>
      </c>
      <c r="L20" s="6" t="inlineStr">
        <is>
          <t>Focos, boquillas, sumidero y desagües del canal. Nº por confirmar.</t>
        </is>
      </c>
    </row>
    <row r="21">
      <c r="A21" s="5" t="inlineStr">
        <is>
          <t>3.3</t>
        </is>
      </c>
      <c r="B21" s="6" t="inlineStr">
        <is>
          <t>Pendiente del fondo del canal</t>
        </is>
      </c>
      <c r="C21" s="5" t="inlineStr">
        <is>
          <t>ml</t>
        </is>
      </c>
      <c r="D21" s="7" t="n">
        <v>12.5</v>
      </c>
      <c r="E21" s="8" t="n">
        <v>25</v>
      </c>
      <c r="F21" s="8" t="n">
        <v>50</v>
      </c>
      <c r="G21" s="9">
        <f>ROUND((E21+F21)/2,2)</f>
        <v/>
      </c>
      <c r="H21" s="8">
        <f>D21*G21</f>
        <v/>
      </c>
      <c r="I21" s="8">
        <f>D21*E21</f>
        <v/>
      </c>
      <c r="J21" s="8">
        <f>D21*F21</f>
        <v/>
      </c>
      <c r="K21" s="5" t="inlineStr">
        <is>
          <t>EST</t>
        </is>
      </c>
      <c r="L21" s="6" t="inlineStr">
        <is>
          <t>Sin referencia publicada por ml; supuesto.</t>
        </is>
      </c>
    </row>
    <row r="22">
      <c r="A22" s="5" t="inlineStr">
        <is>
          <t>3.4</t>
        </is>
      </c>
      <c r="B22" s="6" t="inlineStr">
        <is>
          <t>Replanteo de la línea de flotación y del muro de rebose</t>
        </is>
      </c>
      <c r="C22" s="5" t="inlineStr">
        <is>
          <t>PA</t>
        </is>
      </c>
      <c r="D22" s="7" t="n">
        <v>1</v>
      </c>
      <c r="E22" s="8" t="n">
        <v>400</v>
      </c>
      <c r="F22" s="8" t="n">
        <v>900</v>
      </c>
      <c r="G22" s="9">
        <f>ROUND((E22+F22)/2,2)</f>
        <v/>
      </c>
      <c r="H22" s="8">
        <f>D22*G22</f>
        <v/>
      </c>
      <c r="I22" s="8">
        <f>D22*E22</f>
        <v/>
      </c>
      <c r="J22" s="8">
        <f>D22*F22</f>
        <v/>
      </c>
      <c r="K22" s="5" t="inlineStr">
        <is>
          <t>EST</t>
        </is>
      </c>
      <c r="L22" s="6" t="inlineStr">
        <is>
          <t>Nivel láser y regularización, tolerancia ±2 mm.</t>
        </is>
      </c>
    </row>
    <row r="23">
      <c r="A23" s="10" t="n"/>
      <c r="B23" s="10" t="inlineStr">
        <is>
          <t>Subtotal fase 3</t>
        </is>
      </c>
      <c r="C23" s="10" t="n"/>
      <c r="D23" s="10" t="n"/>
      <c r="E23" s="10" t="n"/>
      <c r="F23" s="10" t="n"/>
      <c r="G23" s="10" t="n"/>
      <c r="H23" s="11">
        <f>SUM(H19:H22)</f>
        <v/>
      </c>
      <c r="I23" s="11">
        <f>SUM(I19:I22)</f>
        <v/>
      </c>
      <c r="J23" s="11">
        <f>SUM(J19:J22)</f>
        <v/>
      </c>
      <c r="K23" s="10" t="n"/>
      <c r="L23" s="10" t="n"/>
    </row>
    <row r="25">
      <c r="A25" s="4" t="inlineStr">
        <is>
          <t>FASE 4</t>
        </is>
      </c>
      <c r="B25" s="4" t="inlineStr">
        <is>
          <t>IMPERMEABILIZACIÓN · SISTEMA DRYPOOL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s="5" t="inlineStr">
        <is>
          <t>4.1</t>
        </is>
      </c>
      <c r="B26" s="6" t="inlineStr">
        <is>
          <t>Suministro de mortero impermeabilizante DryPool</t>
        </is>
      </c>
      <c r="C26" s="5" t="inlineStr">
        <is>
          <t>saco</t>
        </is>
      </c>
      <c r="D26" s="7" t="n">
        <v>10</v>
      </c>
      <c r="E26" s="9" t="n">
        <v>97.5</v>
      </c>
      <c r="F26" s="9" t="n">
        <v>97.5</v>
      </c>
      <c r="G26" s="9">
        <f>ROUND((E26+F26)/2,2)</f>
        <v/>
      </c>
      <c r="H26" s="8">
        <f>D26*G26</f>
        <v/>
      </c>
      <c r="I26" s="8">
        <f>D26*E26</f>
        <v/>
      </c>
      <c r="J26" s="8">
        <f>D26*F26</f>
        <v/>
      </c>
      <c r="K26" s="5" t="inlineStr">
        <is>
          <t>TUYO</t>
        </is>
      </c>
      <c r="L26" s="6" t="inlineStr">
        <is>
          <t>Precio del presupuesto 127. Verificar consumo: 10 sacos ≈ 1,9 kg/m²; el catálogo indica 2 kg/m² por mm y dos capas.</t>
        </is>
      </c>
    </row>
    <row r="27">
      <c r="A27" s="5" t="inlineStr">
        <is>
          <t>4.2</t>
        </is>
      </c>
      <c r="B27" s="6" t="inlineStr">
        <is>
          <t>Aplicación de la impermeabilización (2 capas + malla)</t>
        </is>
      </c>
      <c r="C27" s="5" t="inlineStr">
        <is>
          <t>m²</t>
        </is>
      </c>
      <c r="D27" s="7" t="n">
        <v>105</v>
      </c>
      <c r="E27" s="8" t="n">
        <v>18</v>
      </c>
      <c r="F27" s="8" t="n">
        <v>30</v>
      </c>
      <c r="G27" s="9">
        <f>ROUND((E27+F27)/2,2)</f>
        <v/>
      </c>
      <c r="H27" s="8">
        <f>D27*G27</f>
        <v/>
      </c>
      <c r="I27" s="8">
        <f>D27*E27</f>
        <v/>
      </c>
      <c r="J27" s="8">
        <f>D27*F27</f>
        <v/>
      </c>
      <c r="K27" s="5" t="inlineStr">
        <is>
          <t>EST</t>
        </is>
      </c>
      <c r="L27" s="6" t="inlineStr">
        <is>
          <t>Solo mano de obra; Habitissimo da ≈45 €/m² con material para mortero cementoso.</t>
        </is>
      </c>
    </row>
    <row r="28">
      <c r="A28" s="10" t="n"/>
      <c r="B28" s="10" t="inlineStr">
        <is>
          <t>Subtotal fase 4</t>
        </is>
      </c>
      <c r="C28" s="10" t="n"/>
      <c r="D28" s="10" t="n"/>
      <c r="E28" s="10" t="n"/>
      <c r="F28" s="10" t="n"/>
      <c r="G28" s="10" t="n"/>
      <c r="H28" s="11">
        <f>SUM(H26:H27)</f>
        <v/>
      </c>
      <c r="I28" s="11">
        <f>SUM(I26:I27)</f>
        <v/>
      </c>
      <c r="J28" s="11">
        <f>SUM(J26:J27)</f>
        <v/>
      </c>
      <c r="K28" s="10" t="n"/>
      <c r="L28" s="10" t="n"/>
    </row>
    <row r="30">
      <c r="A30" s="4" t="inlineStr">
        <is>
          <t>FASE 5</t>
        </is>
      </c>
      <c r="B30" s="4" t="inlineStr">
        <is>
          <t>REVESTIMIENTO CERÁMICO ROSA GRES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5" t="inlineStr">
        <is>
          <t>5.1</t>
        </is>
      </c>
      <c r="B31" s="6" t="inlineStr">
        <is>
          <t>Suministro de cerámica Rosa Gres 30 × 60 cm</t>
        </is>
      </c>
      <c r="C31" s="5" t="inlineStr">
        <is>
          <t>m²</t>
        </is>
      </c>
      <c r="D31" s="7" t="n">
        <v>112</v>
      </c>
      <c r="E31" s="9" t="n">
        <v>34.48</v>
      </c>
      <c r="F31" s="9" t="n">
        <v>34.48</v>
      </c>
      <c r="G31" s="9">
        <f>ROUND((E31+F31)/2,2)</f>
        <v/>
      </c>
      <c r="H31" s="8">
        <f>D31*G31</f>
        <v/>
      </c>
      <c r="I31" s="8">
        <f>D31*E31</f>
        <v/>
      </c>
      <c r="J31" s="8">
        <f>D31*F31</f>
        <v/>
      </c>
      <c r="K31" s="5" t="inlineStr">
        <is>
          <t>TUYO</t>
        </is>
      </c>
      <c r="L31" s="6" t="inlineStr">
        <is>
          <t>Precio del presupuesto 127.</t>
        </is>
      </c>
    </row>
    <row r="32">
      <c r="A32" s="5" t="inlineStr">
        <is>
          <t>5.2</t>
        </is>
      </c>
      <c r="B32" s="6" t="inlineStr">
        <is>
          <t>Suministro de piezas de peldaño Rosa Gres</t>
        </is>
      </c>
      <c r="C32" s="5" t="inlineStr">
        <is>
          <t>ud</t>
        </is>
      </c>
      <c r="D32" s="7" t="n">
        <v>35</v>
      </c>
      <c r="E32" s="9" t="n">
        <v>68.86</v>
      </c>
      <c r="F32" s="9" t="n">
        <v>68.86</v>
      </c>
      <c r="G32" s="9">
        <f>ROUND((E32+F32)/2,2)</f>
        <v/>
      </c>
      <c r="H32" s="8">
        <f>D32*G32</f>
        <v/>
      </c>
      <c r="I32" s="8">
        <f>D32*E32</f>
        <v/>
      </c>
      <c r="J32" s="8">
        <f>D32*F32</f>
        <v/>
      </c>
      <c r="K32" s="5" t="inlineStr">
        <is>
          <t>TUYO</t>
        </is>
      </c>
      <c r="L32" s="6" t="inlineStr">
        <is>
          <t>Precio del presupuesto 127.</t>
        </is>
      </c>
    </row>
    <row r="33">
      <c r="A33" s="5" t="inlineStr">
        <is>
          <t>5.3</t>
        </is>
      </c>
      <c r="B33" s="6" t="inlineStr">
        <is>
          <t>Cemento cola para piscinas (C2 TE S1)</t>
        </is>
      </c>
      <c r="C33" s="5" t="inlineStr">
        <is>
          <t>PA</t>
        </is>
      </c>
      <c r="D33" s="7" t="n">
        <v>1</v>
      </c>
      <c r="E33" s="8" t="n">
        <v>450</v>
      </c>
      <c r="F33" s="8" t="n">
        <v>750</v>
      </c>
      <c r="G33" s="9">
        <f>ROUND((E33+F33)/2,2)</f>
        <v/>
      </c>
      <c r="H33" s="8">
        <f>D33*G33</f>
        <v/>
      </c>
      <c r="I33" s="8">
        <f>D33*E33</f>
        <v/>
      </c>
      <c r="J33" s="8">
        <f>D33*F33</f>
        <v/>
      </c>
      <c r="K33" s="5" t="inlineStr">
        <is>
          <t>EST</t>
        </is>
      </c>
      <c r="L33" s="6" t="inlineStr">
        <is>
          <t>≈ 24 sacos de 25 kg con doble encolado.</t>
        </is>
      </c>
    </row>
    <row r="34">
      <c r="A34" s="5" t="inlineStr">
        <is>
          <t>5.4</t>
        </is>
      </c>
      <c r="B34" s="6" t="inlineStr">
        <is>
          <t>Colocación de la cerámica en vaso y canal</t>
        </is>
      </c>
      <c r="C34" s="5" t="inlineStr">
        <is>
          <t>m²</t>
        </is>
      </c>
      <c r="D34" s="7" t="n">
        <v>105</v>
      </c>
      <c r="E34" s="8" t="n">
        <v>35</v>
      </c>
      <c r="F34" s="8" t="n">
        <v>55</v>
      </c>
      <c r="G34" s="9">
        <f>ROUND((E34+F34)/2,2)</f>
        <v/>
      </c>
      <c r="H34" s="8">
        <f>D34*G34</f>
        <v/>
      </c>
      <c r="I34" s="8">
        <f>D34*E34</f>
        <v/>
      </c>
      <c r="J34" s="8">
        <f>D34*F34</f>
        <v/>
      </c>
      <c r="K34" s="5" t="inlineStr">
        <is>
          <t>EST</t>
        </is>
      </c>
      <c r="L34" s="6" t="inlineStr">
        <is>
          <t>Mano de obra; Habitissimo da 50–90 €/m² con material.</t>
        </is>
      </c>
    </row>
    <row r="35">
      <c r="A35" s="5" t="inlineStr">
        <is>
          <t>5.5</t>
        </is>
      </c>
      <c r="B35" s="6" t="inlineStr">
        <is>
          <t>Colocación de peldaños en bancos y escalera</t>
        </is>
      </c>
      <c r="C35" s="5" t="inlineStr">
        <is>
          <t>ud</t>
        </is>
      </c>
      <c r="D35" s="7" t="n">
        <v>35</v>
      </c>
      <c r="E35" s="8" t="n">
        <v>15</v>
      </c>
      <c r="F35" s="8" t="n">
        <v>25</v>
      </c>
      <c r="G35" s="9">
        <f>ROUND((E35+F35)/2,2)</f>
        <v/>
      </c>
      <c r="H35" s="8">
        <f>D35*G35</f>
        <v/>
      </c>
      <c r="I35" s="8">
        <f>D35*E35</f>
        <v/>
      </c>
      <c r="J35" s="8">
        <f>D35*F35</f>
        <v/>
      </c>
      <c r="K35" s="5" t="inlineStr">
        <is>
          <t>EST</t>
        </is>
      </c>
      <c r="L35" s="6" t="inlineStr">
        <is>
          <t>Cortes y remates incluidos.</t>
        </is>
      </c>
    </row>
    <row r="36">
      <c r="A36" s="10" t="n"/>
      <c r="B36" s="10" t="inlineStr">
        <is>
          <t>Subtotal fase 5</t>
        </is>
      </c>
      <c r="C36" s="10" t="n"/>
      <c r="D36" s="10" t="n"/>
      <c r="E36" s="10" t="n"/>
      <c r="F36" s="10" t="n"/>
      <c r="G36" s="10" t="n"/>
      <c r="H36" s="11">
        <f>SUM(H31:H35)</f>
        <v/>
      </c>
      <c r="I36" s="11">
        <f>SUM(I31:I35)</f>
        <v/>
      </c>
      <c r="J36" s="11">
        <f>SUM(J31:J35)</f>
        <v/>
      </c>
      <c r="K36" s="10" t="n"/>
      <c r="L36" s="10" t="n"/>
    </row>
    <row r="38">
      <c r="A38" s="4" t="inlineStr">
        <is>
          <t>FASE 6</t>
        </is>
      </c>
      <c r="B38" s="4" t="inlineStr">
        <is>
          <t>CORONACIÓN Y LABIO DE REBOSE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5" t="inlineStr">
        <is>
          <t>6.1</t>
        </is>
      </c>
      <c r="B39" s="6" t="inlineStr">
        <is>
          <t>Suministro de coronación y piezas de rebose</t>
        </is>
      </c>
      <c r="C39" s="5" t="inlineStr">
        <is>
          <t>ml</t>
        </is>
      </c>
      <c r="D39" s="7" t="n">
        <v>37</v>
      </c>
      <c r="E39" s="8" t="n">
        <v>45</v>
      </c>
      <c r="F39" s="8" t="n">
        <v>110</v>
      </c>
      <c r="G39" s="9">
        <f>ROUND((E39+F39)/2,2)</f>
        <v/>
      </c>
      <c r="H39" s="8">
        <f>D39*G39</f>
        <v/>
      </c>
      <c r="I39" s="8">
        <f>D39*E39</f>
        <v/>
      </c>
      <c r="J39" s="8">
        <f>D39*F39</f>
        <v/>
      </c>
      <c r="K39" s="5" t="inlineStr">
        <is>
          <t>EST</t>
        </is>
      </c>
      <c r="L39" s="6" t="inlineStr">
        <is>
          <t>PARTIDA MÁS INCIERTA: sin referencia publicada. Pedir precio al proveedor.</t>
        </is>
      </c>
    </row>
    <row r="40">
      <c r="A40" s="5" t="inlineStr">
        <is>
          <t>6.2</t>
        </is>
      </c>
      <c r="B40" s="6" t="inlineStr">
        <is>
          <t>Colocación nivelada de la coronación</t>
        </is>
      </c>
      <c r="C40" s="5" t="inlineStr">
        <is>
          <t>ml</t>
        </is>
      </c>
      <c r="D40" s="7" t="n">
        <v>37</v>
      </c>
      <c r="E40" s="8" t="n">
        <v>25</v>
      </c>
      <c r="F40" s="8" t="n">
        <v>50</v>
      </c>
      <c r="G40" s="9">
        <f>ROUND((E40+F40)/2,2)</f>
        <v/>
      </c>
      <c r="H40" s="8">
        <f>D40*G40</f>
        <v/>
      </c>
      <c r="I40" s="8">
        <f>D40*E40</f>
        <v/>
      </c>
      <c r="J40" s="8">
        <f>D40*F40</f>
        <v/>
      </c>
      <c r="K40" s="5" t="inlineStr">
        <is>
          <t>EST</t>
        </is>
      </c>
      <c r="L40" s="6" t="inlineStr">
        <is>
          <t>Pieza a pieza, tolerancia ±2 mm.</t>
        </is>
      </c>
    </row>
    <row r="41">
      <c r="A41" s="5" t="inlineStr">
        <is>
          <t>6.3</t>
        </is>
      </c>
      <c r="B41" s="6" t="inlineStr">
        <is>
          <t>Prueba de lámina de agua</t>
        </is>
      </c>
      <c r="C41" s="5" t="inlineStr">
        <is>
          <t>PA</t>
        </is>
      </c>
      <c r="D41" s="7" t="n">
        <v>1</v>
      </c>
      <c r="E41" s="8" t="n">
        <v>150</v>
      </c>
      <c r="F41" s="8" t="n">
        <v>350</v>
      </c>
      <c r="G41" s="9">
        <f>ROUND((E41+F41)/2,2)</f>
        <v/>
      </c>
      <c r="H41" s="8">
        <f>D41*G41</f>
        <v/>
      </c>
      <c r="I41" s="8">
        <f>D41*E41</f>
        <v/>
      </c>
      <c r="J41" s="8">
        <f>D41*F41</f>
        <v/>
      </c>
      <c r="K41" s="5" t="inlineStr">
        <is>
          <t>EST</t>
        </is>
      </c>
      <c r="L41" s="6" t="inlineStr">
        <is>
          <t>Llenado y comprobación del rebose antes de rejuntar.</t>
        </is>
      </c>
    </row>
    <row r="42">
      <c r="A42" s="10" t="n"/>
      <c r="B42" s="10" t="inlineStr">
        <is>
          <t>Subtotal fase 6</t>
        </is>
      </c>
      <c r="C42" s="10" t="n"/>
      <c r="D42" s="10" t="n"/>
      <c r="E42" s="10" t="n"/>
      <c r="F42" s="10" t="n"/>
      <c r="G42" s="10" t="n"/>
      <c r="H42" s="11">
        <f>SUM(H39:H41)</f>
        <v/>
      </c>
      <c r="I42" s="11">
        <f>SUM(I39:I41)</f>
        <v/>
      </c>
      <c r="J42" s="11">
        <f>SUM(J39:J41)</f>
        <v/>
      </c>
      <c r="K42" s="10" t="n"/>
      <c r="L42" s="10" t="n"/>
    </row>
    <row r="44">
      <c r="A44" s="4" t="inlineStr">
        <is>
          <t>FASE 7</t>
        </is>
      </c>
      <c r="B44" s="4" t="inlineStr">
        <is>
          <t>REJUNTADO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5" t="inlineStr">
        <is>
          <t>7.1</t>
        </is>
      </c>
      <c r="B45" s="6" t="inlineStr">
        <is>
          <t>Rejuntado de cerámica, peldaños y coronación</t>
        </is>
      </c>
      <c r="C45" s="5" t="inlineStr">
        <is>
          <t>m²</t>
        </is>
      </c>
      <c r="D45" s="7" t="n">
        <v>105</v>
      </c>
      <c r="E45" s="8" t="n">
        <v>12</v>
      </c>
      <c r="F45" s="8" t="n">
        <v>22</v>
      </c>
      <c r="G45" s="9">
        <f>ROUND((E45+F45)/2,2)</f>
        <v/>
      </c>
      <c r="H45" s="8">
        <f>D45*G45</f>
        <v/>
      </c>
      <c r="I45" s="8">
        <f>D45*E45</f>
        <v/>
      </c>
      <c r="J45" s="8">
        <f>D45*F45</f>
        <v/>
      </c>
      <c r="K45" s="5" t="inlineStr">
        <is>
          <t>EST</t>
        </is>
      </c>
      <c r="L45" s="6" t="inlineStr">
        <is>
          <t>Material y mano de obra; el epoxi sube hacia el extremo alto.</t>
        </is>
      </c>
    </row>
    <row r="46">
      <c r="A46" s="10" t="n"/>
      <c r="B46" s="10" t="inlineStr">
        <is>
          <t>Subtotal fase 7</t>
        </is>
      </c>
      <c r="C46" s="10" t="n"/>
      <c r="D46" s="10" t="n"/>
      <c r="E46" s="10" t="n"/>
      <c r="F46" s="10" t="n"/>
      <c r="G46" s="10" t="n"/>
      <c r="H46" s="11">
        <f>SUM(H45:H45)</f>
        <v/>
      </c>
      <c r="I46" s="11">
        <f>SUM(I45:I45)</f>
        <v/>
      </c>
      <c r="J46" s="11">
        <f>SUM(J45:J45)</f>
        <v/>
      </c>
      <c r="K46" s="10" t="n"/>
      <c r="L46" s="10" t="n"/>
    </row>
    <row r="48">
      <c r="A48" s="4" t="inlineStr">
        <is>
          <t>FASE 8</t>
        </is>
      </c>
      <c r="B48" s="4" t="inlineStr">
        <is>
          <t>LLENADO, PRUEBAS Y ENTREGA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5" t="inlineStr">
        <is>
          <t>8.1</t>
        </is>
      </c>
      <c r="B49" s="6" t="inlineStr">
        <is>
          <t>Prueba de estanqueidad y llenado</t>
        </is>
      </c>
      <c r="C49" s="5" t="inlineStr">
        <is>
          <t>PA</t>
        </is>
      </c>
      <c r="D49" s="7" t="n">
        <v>1</v>
      </c>
      <c r="E49" s="8" t="n">
        <v>200</v>
      </c>
      <c r="F49" s="8" t="n">
        <v>450</v>
      </c>
      <c r="G49" s="9">
        <f>ROUND((E49+F49)/2,2)</f>
        <v/>
      </c>
      <c r="H49" s="8">
        <f>D49*G49</f>
        <v/>
      </c>
      <c r="I49" s="8">
        <f>D49*E49</f>
        <v/>
      </c>
      <c r="J49" s="8">
        <f>D49*F49</f>
        <v/>
      </c>
      <c r="K49" s="5" t="inlineStr">
        <is>
          <t>EST</t>
        </is>
      </c>
      <c r="L49" s="6" t="inlineStr">
        <is>
          <t>El agua de llenado no está incluida.</t>
        </is>
      </c>
    </row>
    <row r="50">
      <c r="A50" s="5" t="inlineStr">
        <is>
          <t>8.2</t>
        </is>
      </c>
      <c r="B50" s="6" t="inlineStr">
        <is>
          <t>Puesta en marcha y entrega</t>
        </is>
      </c>
      <c r="C50" s="5" t="inlineStr">
        <is>
          <t>PA</t>
        </is>
      </c>
      <c r="D50" s="7" t="n">
        <v>1</v>
      </c>
      <c r="E50" s="8" t="n">
        <v>200</v>
      </c>
      <c r="F50" s="8" t="n">
        <v>400</v>
      </c>
      <c r="G50" s="9">
        <f>ROUND((E50+F50)/2,2)</f>
        <v/>
      </c>
      <c r="H50" s="8">
        <f>D50*G50</f>
        <v/>
      </c>
      <c r="I50" s="8">
        <f>D50*E50</f>
        <v/>
      </c>
      <c r="J50" s="8">
        <f>D50*F50</f>
        <v/>
      </c>
      <c r="K50" s="5" t="inlineStr">
        <is>
          <t>EST</t>
        </is>
      </c>
      <c r="L50" s="6" t="inlineStr">
        <is>
          <t>Limpieza final y retirada de protecciones.</t>
        </is>
      </c>
    </row>
    <row r="51">
      <c r="A51" s="10" t="n"/>
      <c r="B51" s="10" t="inlineStr">
        <is>
          <t>Subtotal fase 8</t>
        </is>
      </c>
      <c r="C51" s="10" t="n"/>
      <c r="D51" s="10" t="n"/>
      <c r="E51" s="10" t="n"/>
      <c r="F51" s="10" t="n"/>
      <c r="G51" s="10" t="n"/>
      <c r="H51" s="11">
        <f>SUM(H49:H50)</f>
        <v/>
      </c>
      <c r="I51" s="11">
        <f>SUM(I49:I50)</f>
        <v/>
      </c>
      <c r="J51" s="11">
        <f>SUM(J49:J50)</f>
        <v/>
      </c>
      <c r="K51" s="10" t="n"/>
      <c r="L51" s="10" t="n"/>
    </row>
    <row r="53">
      <c r="A53" s="12" t="n"/>
      <c r="B53" s="12" t="inlineStr">
        <is>
          <t>BASE IMPONIBLE</t>
        </is>
      </c>
      <c r="C53" s="12" t="n"/>
      <c r="D53" s="12" t="n"/>
      <c r="E53" s="12" t="n"/>
      <c r="F53" s="12" t="n"/>
      <c r="G53" s="12" t="n"/>
      <c r="H53" s="13">
        <f>H9+H16+H23+H28+H36+H42+H46+H51</f>
        <v/>
      </c>
      <c r="I53" s="13">
        <f>I9+I16+I23+I28+I36+I42+I46+I51</f>
        <v/>
      </c>
      <c r="J53" s="13">
        <f>J9+J16+J23+J28+J36+J42+J46+J51</f>
        <v/>
      </c>
      <c r="K53" s="12" t="n"/>
      <c r="L53" s="12" t="n"/>
    </row>
    <row r="54">
      <c r="B54" t="inlineStr">
        <is>
          <t>IVA (%)</t>
        </is>
      </c>
      <c r="G54" s="14" t="n">
        <v>21</v>
      </c>
    </row>
    <row r="55">
      <c r="A55" s="15" t="n"/>
      <c r="B55" s="15" t="inlineStr">
        <is>
          <t>IVA</t>
        </is>
      </c>
      <c r="C55" s="15" t="n"/>
      <c r="D55" s="15" t="n"/>
      <c r="E55" s="15" t="n"/>
      <c r="F55" s="15" t="n"/>
      <c r="G55" s="15" t="n"/>
      <c r="H55" s="16">
        <f>ROUND(H53*$G$54/100,2)</f>
        <v/>
      </c>
      <c r="I55" s="16">
        <f>ROUND(I53*$G$54/100,2)</f>
        <v/>
      </c>
      <c r="J55" s="16">
        <f>ROUND(J53*$G$54/100,2)</f>
        <v/>
      </c>
      <c r="K55" s="15" t="n"/>
      <c r="L55" s="15" t="n"/>
    </row>
    <row r="56">
      <c r="A56" s="17" t="n"/>
      <c r="B56" s="17" t="inlineStr">
        <is>
          <t>TOTAL CON IVA</t>
        </is>
      </c>
      <c r="C56" s="17" t="n"/>
      <c r="D56" s="17" t="n"/>
      <c r="E56" s="17" t="n"/>
      <c r="F56" s="17" t="n"/>
      <c r="G56" s="17" t="n"/>
      <c r="H56" s="18">
        <f>H53+H55</f>
        <v/>
      </c>
      <c r="I56" s="18">
        <f>I53+I55</f>
        <v/>
      </c>
      <c r="J56" s="18">
        <f>J53+J55</f>
        <v/>
      </c>
      <c r="K56" s="17" t="n"/>
      <c r="L56" s="17" t="n"/>
    </row>
    <row r="58">
      <c r="B58" s="19" t="inlineStr">
        <is>
          <t>Referencias para contrastar el total (con IVA, mano de obra incluida):</t>
        </is>
      </c>
    </row>
    <row r="59">
      <c r="B59" t="inlineStr">
        <is>
          <t>Piscina Plus · 8×4×1,5 m, porcelánico, sin canal ni coronación nueva (3–4 semanas)</t>
        </is>
      </c>
      <c r="H59" t="inlineStr">
        <is>
          <t>12.600 – 17.000 €</t>
        </is>
      </c>
    </row>
    <row r="60">
      <c r="B60" t="inlineStr">
        <is>
          <t>Habitissimo / Cronoshare · reforma integral (genérico España)</t>
        </is>
      </c>
      <c r="H60" t="inlineStr">
        <is>
          <t>15.000 – 30.000 €</t>
        </is>
      </c>
    </row>
    <row r="61">
      <c r="B61" t="inlineStr">
        <is>
          <t>Habitissimo · piscina desbordante NUEVA 8×4×1,6 m</t>
        </is>
      </c>
      <c r="H61" t="inlineStr">
        <is>
          <t>14.000 – 20.000 €</t>
        </is>
      </c>
    </row>
  </sheetData>
  <mergeCells count="1">
    <mergeCell ref="A2:L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48" customHeight="1">
      <c r="A1" s="20" t="inlineStr">
        <is>
          <t>Qué es esto</t>
        </is>
      </c>
      <c r="B1" s="2" t="inlineStr">
        <is>
          <t>Rangos orientativos por partida para valorar el presupuesto 127. No son precios de ninguna empresa ni cotizaciones: son estimaciones a partir de cifras genéricas de portales de España.</t>
        </is>
      </c>
    </row>
    <row r="2" ht="48" customHeight="1">
      <c r="A2" s="20" t="inlineStr">
        <is>
          <t>Precios TUYO</t>
        </is>
      </c>
      <c r="B2" s="2" t="inlineStr">
        <is>
          <t>Salen del presupuesto 127 original: DryPool 97,50 €/saco, cerámica 34,48 €/m², peldaños 68,86 €/ud.</t>
        </is>
      </c>
    </row>
    <row r="3" ht="48" customHeight="1">
      <c r="A3" s="20" t="inlineStr">
        <is>
          <t>Mano de obra</t>
        </is>
      </c>
      <c r="B3" s="2" t="inlineStr">
        <is>
          <t>Se estima por m² o ml SIN material (el material de cerámica, peldaños y mortero ya está valorado aparte). Referencias: Habitissimo cita 30–50 €/h de mano de obra; otra de sus páginas, 20–25 €/h para un albañil.</t>
        </is>
      </c>
    </row>
    <row r="4" ht="48" customHeight="1">
      <c r="A4" s="20" t="inlineStr">
        <is>
          <t>Partida más incierta</t>
        </is>
      </c>
      <c r="B4" s="2" t="inlineStr">
        <is>
          <t>6.1 Coronación: no hay precio por ml publicado. Pida precio al proveedor. Con 37 ml, cada 10 €/ml de diferencia mueve ≈ 370 €.</t>
        </is>
      </c>
    </row>
    <row r="5" ht="48" customHeight="1">
      <c r="A5" s="20" t="inlineStr">
        <is>
          <t>Consumo DryPool</t>
        </is>
      </c>
      <c r="B5" s="2" t="inlineStr">
        <is>
          <t>10 sacos de 20 kg para 105 m² son ≈ 1,9 kg/m². El catálogo de Grupo Puma indica 2 kg/m² por mm de espesor, con dos capas y malla. Confirme consumo y tamaño de saco en la ficha técnica; la partida 4.1 puede quedarse corta.</t>
        </is>
      </c>
    </row>
    <row r="6" ht="48" customHeight="1">
      <c r="A6" s="20" t="inlineStr">
        <is>
          <t>Reserva de cerámica</t>
        </is>
      </c>
      <c r="B6" s="2" t="inlineStr">
        <is>
          <t>112 m² frente a 105 m² (6,7 %). Con muchos cortes en formato 30×60 suele quedarse corta.</t>
        </is>
      </c>
    </row>
    <row r="7" ht="48" customHeight="1">
      <c r="A7" s="20" t="inlineStr">
        <is>
          <t>No incluido</t>
        </is>
      </c>
      <c r="B7" s="2" t="inlineStr">
        <is>
          <t>Reposición de pavimento de terraza y rejilla lineal, reparaciones estructurales, equipos de depuración, licencias, agua de llenado, productos químicos.</t>
        </is>
      </c>
    </row>
    <row r="8" ht="48" customHeight="1">
      <c r="A8" s="20" t="inlineStr">
        <is>
          <t>IVA</t>
        </is>
      </c>
      <c r="B8" s="2" t="inlineStr">
        <is>
          <t>Se aplica 21 %. El 10 % de rehabilitación exige, entre otros requisitos, que los materiales no superen el 40 % de la base: validar con el asesor.</t>
        </is>
      </c>
    </row>
    <row r="9" ht="48" customHeight="1">
      <c r="A9" s="20" t="inlineStr">
        <is>
          <t>Fuentes</t>
        </is>
      </c>
      <c r="B9" s="2" t="inlineStr">
        <is>
          <t>Habitissimo: https://www.habitissimo.es/presupuestos/reformas-piscinas (18/6/2026) · /impermeabilizar-piscina (16/9/2026) · /construir-piscina-desbordante (10/6/2026) · /alicatar-piscina. Cronoshare: https://www.cronoshare.com/cuanto-cuesta/reformar-piscina (12/1/2026). Piscina Plus: https://www.piscinaplus.com/precio-reforma-piscina.</t>
        </is>
      </c>
    </row>
    <row r="10" ht="48" customHeight="1">
      <c r="A10" s="20" t="inlineStr">
        <is>
          <t>Limitación</t>
        </is>
      </c>
      <c r="B10" s="2" t="inlineStr">
        <is>
          <t>Ninguna empresa de Girona/Costa Brava consultada publica precios. Para una cifra firme, use su coste real de mano de obra y el precio de coronación de su proveedor.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2026-10-21T16:39:12Z</dcterms:created>
  <dcterms:modified xmlns:dcterms="http://purl.org/dc/terms/" xmlns:xsi="http://www.w3.org/2001/XMLSchema-instance" xsi:type="dcterms:W3CDTF">2026-10-21T16:39:12Z</dcterms:modified>
</cp:coreProperties>
</file>